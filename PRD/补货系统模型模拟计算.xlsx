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56" windowHeight="13380" activeTab="4"/>
  </bookViews>
  <sheets>
    <sheet name="备货模型" sheetId="1" r:id="rId1"/>
    <sheet name="模拟界面" sheetId="2" r:id="rId2"/>
    <sheet name="备货模板" sheetId="3" r:id="rId3"/>
    <sheet name="备货测算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<sst xmlns="http://schemas.openxmlformats.org/spreadsheetml/2006/main" count="407" uniqueCount="260">
  <si>
    <t>基础预测</t>
  </si>
  <si>
    <t>基础预测为默认方案，默认所有时间段</t>
  </si>
  <si>
    <t>预测类型：多个历史周均销量权重相加等于1</t>
  </si>
  <si>
    <t>历史周权重配置</t>
  </si>
  <si>
    <t>移动加权</t>
  </si>
  <si>
    <t>序列</t>
  </si>
  <si>
    <t>时间范围</t>
  </si>
  <si>
    <t>周均销量的权重</t>
  </si>
  <si>
    <t>操作</t>
  </si>
  <si>
    <t>简单平均</t>
  </si>
  <si>
    <t>近1周/近2周/近4周</t>
  </si>
  <si>
    <t>+/-</t>
  </si>
  <si>
    <t>指数平滑</t>
  </si>
  <si>
    <t>备货规则（备货时长）</t>
  </si>
  <si>
    <t>直发模式（CN仓/海外仓→FBA仓）
本地仓发FBA量 =（CN仓至FBA时效+安全天数+CN仓发货频率）*日销量（动态）-（FBA库存 + FBA在途 + 海外仓可用 + 海外仓在途）
海外仓发FBA量=（海外仓至FBA时效+安全天数+海外仓发货频率）* 日销量（动态）-（FBA库存 + FBA在途）
建议采购量（直发模式） = 备货时长 * 日销量（动态）-（FBA库存 + FBA在途 + 海外仓可用 + 海外仓在途 + CN可用 + 待检待上架量 + 待交付 + CN仓在途 + 采购计划）, 只扣除备货时长内到货且被消耗的库存;备货时长=采购计划+采购交期+质检天数+本地仓至FBA时效+安全天数+采购频率</t>
  </si>
  <si>
    <t>采购时效</t>
  </si>
  <si>
    <t>头程物流时效</t>
  </si>
  <si>
    <t>采购频率</t>
  </si>
  <si>
    <t>采购交期</t>
  </si>
  <si>
    <t>质检</t>
  </si>
  <si>
    <t>提货准备</t>
  </si>
  <si>
    <t>本地/海外仓直发模式</t>
  </si>
  <si>
    <t>北美版</t>
  </si>
  <si>
    <t>本地仓发货频率</t>
  </si>
  <si>
    <t>本地仓发 FBA 运输方式</t>
  </si>
  <si>
    <t>物流时效</t>
  </si>
  <si>
    <t>快船</t>
  </si>
  <si>
    <t>慢船</t>
  </si>
  <si>
    <t>FBA 仓</t>
  </si>
  <si>
    <t>安全天数</t>
  </si>
  <si>
    <t>欧洲版</t>
  </si>
  <si>
    <t xml:space="preserve"> 28 天</t>
  </si>
  <si>
    <t>设置：
建议量扣除必断货量
历史销量排除断货数据</t>
  </si>
  <si>
    <t>日销量规则</t>
  </si>
  <si>
    <t>预测日销量=3天日均*权重+7天日均*权重+14天日均*权重+30天日均*权重+60天日均*权重+90天日均*权重</t>
  </si>
  <si>
    <t>默认日销量</t>
  </si>
  <si>
    <t xml:space="preserve"> 3 天</t>
  </si>
  <si>
    <t xml:space="preserve"> 7 天</t>
  </si>
  <si>
    <t xml:space="preserve"> 14 天</t>
  </si>
  <si>
    <t xml:space="preserve"> 30 天</t>
  </si>
  <si>
    <t xml:space="preserve"> 60 天</t>
  </si>
  <si>
    <t xml:space="preserve"> 90 天</t>
  </si>
  <si>
    <t>日均销量</t>
  </si>
  <si>
    <t>权重设置</t>
  </si>
  <si>
    <t>促销销量</t>
  </si>
  <si>
    <t>促销名称</t>
  </si>
  <si>
    <t>时间段</t>
  </si>
  <si>
    <t>预测日销量</t>
  </si>
  <si>
    <t>预测总销量</t>
  </si>
  <si>
    <t>影响系数规则-系数</t>
  </si>
  <si>
    <t>影响系数规则-安全库存天数</t>
  </si>
  <si>
    <t>目标系数/目标置信率系数</t>
  </si>
  <si>
    <t>新品系数</t>
  </si>
  <si>
    <t>增长/衰减系数</t>
  </si>
  <si>
    <t>7/14/30： 近期的销售影响值更大</t>
  </si>
  <si>
    <t>影响因子比例</t>
  </si>
  <si>
    <t>安全天数：更高</t>
  </si>
  <si>
    <t>季节/市场系数</t>
  </si>
  <si>
    <t>销售层级系数</t>
  </si>
  <si>
    <t>A-爆款：补货激进系数高</t>
  </si>
  <si>
    <t>安全库存天数=45</t>
  </si>
  <si>
    <t>B-旺款：补货激进系数中</t>
  </si>
  <si>
    <t>安全库存天数=28 天</t>
  </si>
  <si>
    <t>C-利润：补货激进系数低</t>
  </si>
  <si>
    <t>安全库存天数=20 天</t>
  </si>
  <si>
    <t>同比销售系数</t>
  </si>
  <si>
    <t>颜色系数</t>
  </si>
  <si>
    <t>主次颜色</t>
  </si>
  <si>
    <t>产品生命周期（次新品/老品）</t>
  </si>
  <si>
    <t>生命周期类型</t>
  </si>
  <si>
    <t>增长/衰减比例</t>
  </si>
  <si>
    <t>流量系数</t>
  </si>
  <si>
    <t>次新品</t>
  </si>
  <si>
    <t>同比销量增长比例</t>
  </si>
  <si>
    <t xml:space="preserve">OR/AD </t>
  </si>
  <si>
    <t>老品</t>
  </si>
  <si>
    <t>同比销量衰减比例</t>
  </si>
  <si>
    <t>广告/自然流量 asin</t>
  </si>
  <si>
    <t>竞对价格系数</t>
  </si>
  <si>
    <t>衰减系数</t>
  </si>
  <si>
    <t>销量修正/去噪规则</t>
  </si>
  <si>
    <t>包含日销量自动去噪和日销量指定日期去噪</t>
  </si>
  <si>
    <t>1.日销量自动去噪：当单个订单同一产品销量过大，影响历史平均销量时，支持设置订单产品销量大于X时，按照Y计算（假设X=10,Y=1，如果某个订单某个产品的销量&gt;=10个，该订单对应产品的销量记为1）。
2.日销量指定日期去噪：历史某段时间销量存在异常情况，导致历史平均销量不准确（例：做了促销导致销量暴增、因为其他原因导致销量暴跌等），支持指定时间去修复历史销量数据。支持按照固定值去噪（当天销量 = 设置的日销量）、百分比去噪（当天销量 = 实际销量 * 百分比）。 
3.系统的断货去噪：同比销售预测值=同比销售预测值*（预计销售天数/（预计销售天数-断货天数））；
4.退货/退款量去噪</t>
  </si>
  <si>
    <t>3.日销量自动去噪、指定日期去噪、退货/退款量去噪支持同时设置，执行顺序：自动去噪→指定日期去噪→退货/退款量去噪。指定日期去噪和退货/退款量去噪规则相同时间段内重复设置，以最后一条指定日期去噪规则为准。</t>
  </si>
  <si>
    <t>日销量自动去噪</t>
  </si>
  <si>
    <t>当单个订单同一产品销量过大，影响历史平均销量时，支持设置订单产品销量大于X时，按照Y计算（假设X=10,Y=1，如果某个订单某个产品的销量&gt;=10个，该订单对应产品的销量记为1）。修改配置后，仅针对历史90天内订单生效，日销量指定日期去噪规则将基于日销量自动去噪计算</t>
  </si>
  <si>
    <t>类型</t>
  </si>
  <si>
    <t>开启</t>
  </si>
  <si>
    <t>规则</t>
  </si>
  <si>
    <t>大订单去噪</t>
  </si>
  <si>
    <t>单个订单单个产品销量≥     ，该订单产品销量记为：</t>
  </si>
  <si>
    <t>日销量指定日期去噪</t>
  </si>
  <si>
    <t>历史某段时间销量存在异常情况，导致历史平均销量不准确（例：做了促销导致销量暴增、因为其他原因导致销量暴跌等），支持指定时间去修复历史销量数据。支持按照固定值去噪（当天销量 = 设置的日销量）、百分比去噪（当天销量 = 实际销量 * 百分比）</t>
  </si>
  <si>
    <t>去噪值</t>
  </si>
  <si>
    <t>名称</t>
  </si>
  <si>
    <t>固定值去噪</t>
  </si>
  <si>
    <t>百分比去噪</t>
  </si>
  <si>
    <t>日销量断货去噪</t>
  </si>
  <si>
    <t>系统的断货去噪：同比销售预测值=同比销售预测值*（预计销售天数/（预计销售天数-断货天数））</t>
  </si>
  <si>
    <t>断货点：系统每日记录FBA库存（FBA可售量+FBA预留中转+FBA预留处理中），当为0时，标记为断货。</t>
  </si>
  <si>
    <t>退货量去噪</t>
  </si>
  <si>
    <t>扣减比例</t>
  </si>
  <si>
    <t>预测销量计算对比分析-周销量（静态/动态）</t>
  </si>
  <si>
    <t>年度规划当周销量（静态预测）=当月年度计划销量/31 天*7 天（W）
原预测当周销量（动态预测）=日均销量规则*季节/市场系数*促销系数*同比销售系数*次新品/老品系数*竞对价格系数（公式待确认）*7</t>
  </si>
  <si>
    <t>聚合级别：</t>
  </si>
  <si>
    <t>MSKU</t>
  </si>
  <si>
    <t>SKC</t>
  </si>
  <si>
    <t>SKU</t>
  </si>
  <si>
    <t>导出数据</t>
  </si>
  <si>
    <t>批量编辑</t>
  </si>
  <si>
    <t>保存调整</t>
  </si>
  <si>
    <t>销售层级</t>
  </si>
  <si>
    <t>运营人员</t>
  </si>
  <si>
    <t>运营小组</t>
  </si>
  <si>
    <t>系列</t>
  </si>
  <si>
    <t>26-WK19</t>
  </si>
  <si>
    <t>26-WK20</t>
  </si>
  <si>
    <t>26-WK21</t>
  </si>
  <si>
    <t>26-WK22</t>
  </si>
  <si>
    <t>26-WK23</t>
  </si>
  <si>
    <t>26-WK24</t>
  </si>
  <si>
    <t>26-WK25</t>
  </si>
  <si>
    <t>26-WK26</t>
  </si>
  <si>
    <t>年度规划</t>
  </si>
  <si>
    <t>原预测销量</t>
  </si>
  <si>
    <t>真实销量</t>
  </si>
  <si>
    <t>预测修正后</t>
  </si>
  <si>
    <t>预测销量计算对比分析-日均销量（静态/动态）</t>
  </si>
  <si>
    <t>年度规划日销量（静态）=当月年度计划销量/31 天
原预测日销量（动态）=日销量规则*季节/市场系数*促销系数*同比销售系数*次新品/老品系数*竞对价格系数（公式待确认）</t>
  </si>
  <si>
    <t>影响因子</t>
  </si>
  <si>
    <t>26-WK27</t>
  </si>
  <si>
    <t>26-WK28</t>
  </si>
  <si>
    <t>26-WK29</t>
  </si>
  <si>
    <t>日均销量（静态）</t>
  </si>
  <si>
    <t>日均销量规则（动态）</t>
  </si>
  <si>
    <t>促销系数</t>
  </si>
  <si>
    <t>次新品/老品系数</t>
  </si>
  <si>
    <t>计算后的日均销量</t>
  </si>
  <si>
    <t>备货时长计算对比分析</t>
  </si>
  <si>
    <t>采购频率（采购周期天数）</t>
  </si>
  <si>
    <t xml:space="preserve"> 15-30 天</t>
  </si>
  <si>
    <t>备货时长=采购频率+采购交期+质检天数+提货准备+CN至FBA时效+安全天数</t>
  </si>
  <si>
    <t>30 天</t>
  </si>
  <si>
    <t>质检天数</t>
  </si>
  <si>
    <t>CN仓至FBA时效</t>
  </si>
  <si>
    <t>备货时长</t>
  </si>
  <si>
    <t xml:space="preserve">  7 天</t>
  </si>
  <si>
    <t>28 天</t>
  </si>
  <si>
    <t>本地仓发FBA量计算对比分析</t>
  </si>
  <si>
    <t>CN仓发货频率（CN 仓发货周期天数）</t>
  </si>
  <si>
    <t xml:space="preserve"> 7 天-15 天</t>
  </si>
  <si>
    <t>CN仓发FBA量 =（CN仓至FBA时效+安全天数+CN仓发货频率）*日均销量（动态）-（FBA库存 + FBA在途 + 海外仓可用 + 海外仓在途）</t>
  </si>
  <si>
    <t>CN仓发货频率</t>
  </si>
  <si>
    <t>日销量（动态）</t>
  </si>
  <si>
    <t>FBA库存</t>
  </si>
  <si>
    <t>FBA在途</t>
  </si>
  <si>
    <t xml:space="preserve"> 海外仓可用</t>
  </si>
  <si>
    <t>海外仓在途</t>
  </si>
  <si>
    <t>本地仓发FBA量</t>
  </si>
  <si>
    <t>补货建议对比分析</t>
  </si>
  <si>
    <t>模拟计算按钮，产生弹窗（弹窗计算）</t>
  </si>
  <si>
    <t>建议补货（发货）量 = 总需求库存 - 当前FBA可售库存 - 在途库存</t>
  </si>
  <si>
    <t>26-WK30</t>
  </si>
  <si>
    <t>按年度规划发货量</t>
  </si>
  <si>
    <t>原预测销量发货量</t>
  </si>
  <si>
    <t>预测修正后发货量</t>
  </si>
  <si>
    <t>建议采购量计算对比分析</t>
  </si>
  <si>
    <t>建议采购量（直发模式） = 备货时长 * 日销量（动态）-（FBA库存 + FBA在途 + 海外仓可用 + 海外仓在途 + CN可用 + 待检待上架量 + 待交付 + 本地仓在途 + 采购计划）</t>
  </si>
  <si>
    <t xml:space="preserve"> CN可用 </t>
  </si>
  <si>
    <t>待检待上架量</t>
  </si>
  <si>
    <t>待交付</t>
  </si>
  <si>
    <t>本地仓在途</t>
  </si>
  <si>
    <t>采购计划</t>
  </si>
  <si>
    <t>建议采购量</t>
  </si>
  <si>
    <t>以上为父体备货模型，确认后，直接换算成 SKU 的备货计划，其中需要引用颜色比例和尺码比例：</t>
  </si>
  <si>
    <t>需要由运营确认：尺码/颜色比例是近期比例还是年规尺码比例（年规调整频率很低，可能会偏差大）</t>
  </si>
  <si>
    <t>新品期模板</t>
  </si>
  <si>
    <t>核心目标：在高度不确定性中避免重大库存风险，同时测试市场真实需求。
权重分配逻辑：极度依赖外部市场和竞品/同系列产品数据，弱化自身不稳定数据；设置高安全库存。
配套参数设置：
● 安全库存天数：30-45天（应对冷启动波动和物流风险）。
● 补货策略：小批量多批次（如首单试销200-500件，根据动销速度快速追加）。</t>
  </si>
  <si>
    <t>新品：
日均销量=(k1*近7天销量/7+k2*近14天销量/14+k3*近30天销量/30)*季节/市场系数*竞对价格系数
7≤上架天数&lt;14，K1=1,K2=0,K3=0
14≤上架天数&lt;30，K1=0.7,K2=0.3,K3=0
30≤上架天数&lt;90，K1=0.6,K2=0.3,K3=0.1</t>
  </si>
  <si>
    <t>建议权重</t>
  </si>
  <si>
    <t>分配逻辑与操作说明</t>
  </si>
  <si>
    <t>观察指标。仅参考上架后2-4周的极短期数据，用于微调，权重最低。</t>
  </si>
  <si>
    <t>销售目标与完成率</t>
  </si>
  <si>
    <t>目标牵引。反映公司资源投入和期望，但权重不宜过高，需与现实结合。</t>
  </si>
  <si>
    <t>季节/类目市场表现</t>
  </si>
  <si>
    <t>核心依据。新品无历史，需锚定大盘趋势。使用该类目近期平均增长率、热销价格带等数据。</t>
  </si>
  <si>
    <t>同比历史销量</t>
  </si>
  <si>
    <t>忽略/低​</t>
  </si>
  <si>
    <t>尚无数据或影响不显，可暂不纳入模型。</t>
  </si>
  <si>
    <t>成长期模板</t>
  </si>
  <si>
    <t>核心目标：捕捉并跟上快速增长势头，以充足的库存支撑排名上升和流量增长，核心是避免断货。
权重分配逻辑：权重强烈向近期销售数据倾斜，快速响应市场变化。
配套参数设置：
● 安全库存天数：20-30天（低于新品期，但仍需充足缓冲）。
● 补货节奏：缩短补货周期，提高补货频率，预测销量采用上期实际销量 × 增长系数进行动态调整。</t>
  </si>
  <si>
    <t>成长期/成熟期：
日均销量=(k1*近7天销量/7+k2*近14天销量/14+k3*近30天销量/30+k4*近60天销量/60+k5*近90天销量/90)*季节/市场系数*次新品/老品系数*同比销售系数*竞对价格系数*促销系数
（其中季节款 k1=0.6 k2=0.3 k3=0.1， k4及k5=0)</t>
  </si>
  <si>
    <t>绝对核心。采用指数加权，近7天权重最高（如0.5），14天次之（0.3），30天再次之（0.2），快速反映增长曲线。</t>
  </si>
  <si>
    <t>信心指标。完成率高则增加权重，表明增长可信，可更激进。</t>
  </si>
  <si>
    <t>按照右侧建议权重超过100%</t>
  </si>
  <si>
    <t>环境校验。确保增长非昙花一现，而是与大盘趋势同向。</t>
  </si>
  <si>
    <t>季节款建议再商榷下，季节款日均销量用该公式也需要分季节前和季节中</t>
  </si>
  <si>
    <t>趋势强化。确认增长是否健康且符合预期。高增长率可强化补货信号。</t>
  </si>
  <si>
    <t>影响整体的备货信心指数</t>
  </si>
  <si>
    <t>逐步形成主次颜色，需要聚焦主次颜色比例</t>
  </si>
  <si>
    <t>逐步形成广告/自然流量 asin，需要聚焦流量集权</t>
  </si>
  <si>
    <t>成熟期模板</t>
  </si>
  <si>
    <t>核心目标：在稳定需求下，实现库存成本、周转与服务水平的最优平衡，核心是提升利润率。
权重分配逻辑：权重分配均衡、稳定，高度重视与成本和效率相关的因子。
配套参数设置：
● 安全库存天数：10-20天（基于精确的服务水平目标计算得出）。
● 补货模型：采用经典的 (补货周期 + 安全库存) × 日均销量​ 公式，追求自动化和稳定性。</t>
  </si>
  <si>
    <t>稳定基准。参考周期拉长，采用近30、60、90天的简单移动平均，消除短期噪音。</t>
  </si>
  <si>
    <t>规律调节。成熟品季节性规律最明显，是平滑产能和库存计划的关键。</t>
  </si>
  <si>
    <t>风险监控。监测大盘是否下滑，及时预警。</t>
  </si>
  <si>
    <t>退货率​</t>
  </si>
  <si>
    <t>效率关键。直接影响净销售成本和库存有效性，高退货率产品需调低预测。</t>
  </si>
  <si>
    <t>促销期模板</t>
  </si>
  <si>
    <t>核心目标：确保大促期间绝对不缺货，并有效承接流量，同时避免促销后形成致命积压。
权重分配逻辑：一切围绕“促销”事件本身，历史常态数据权重降低。
配套参数设置：
● 安全库存天数：促销期日均预测销量的3-7天（应对秒杀高峰波动）。
● 补货策略：“倒金字塔”备货。总备货量分三批：大促前45天发海运（备基础量），前15天发空运（备主力量），大促前3天FBA库存达到峰值。</t>
  </si>
  <si>
    <t>基础水位。仅作为促销前常态销量的参考，权重不高。</t>
  </si>
  <si>
    <t>竞争环境。大促期间类目流量激增程度，影响最终转化。</t>
  </si>
  <si>
    <t>精准参考。去年同期的促销表现是最直接的参考。</t>
  </si>
  <si>
    <t>促销情况</t>
  </si>
  <si>
    <t>唯一核心。根据促销类型（LD/BD/站外）、折扣力度、广告预算，参考历史同级别促销的销量倍增系数进行预测。</t>
  </si>
  <si>
    <t>历史月份</t>
  </si>
  <si>
    <t>实际日均销量</t>
  </si>
  <si>
    <t>近7天销量</t>
  </si>
  <si>
    <t>近14天销量</t>
  </si>
  <si>
    <t>近30天销量</t>
  </si>
  <si>
    <t>近60天销量</t>
  </si>
  <si>
    <t>近90天销量</t>
  </si>
  <si>
    <t>预测日均销量</t>
  </si>
  <si>
    <t>预测月销量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</si>
  <si>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</si>
  <si>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</si>
  <si>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</si>
  <si>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</si>
  <si>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</si>
  <si>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</si>
  <si>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</si>
  <si>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</si>
  <si>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</si>
  <si>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</si>
  <si>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</si>
  <si>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</si>
  <si>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父体维度销量预测：</t>
  </si>
  <si>
    <t>新品：</t>
  </si>
  <si>
    <t>日均销量=(k1*近7天销量/7+k2*近14天销量/14+k3*近30天销量/30)*季节/市场系数*竞对价格系数</t>
  </si>
  <si>
    <t>7≤上架天数&lt;14，K1=1,K2=0,K3=0</t>
  </si>
  <si>
    <t>14≤上架天数&lt;30，K1=0.7,K2=0.3,K3=0</t>
  </si>
  <si>
    <t>30≤上架天数&lt;90，K1=0.6,K2=0.3,K3=0.1</t>
  </si>
  <si>
    <t>成长期/成熟期：</t>
  </si>
  <si>
    <t>日均销量=(k1*近7天销量/7+k2*近14天销量/14+k3*近30天销量/30+k4*近60天销量/60+k5*近90天销量/90)*季节/市场系数*次新品/老品系数*同比销售系数*竞对价格系数*促销系数</t>
  </si>
  <si>
    <t>季节款 k1=0.6 k2=0.3 k3=0.1， k4及k5=0</t>
  </si>
  <si>
    <t>四季款系数待定</t>
  </si>
  <si>
    <t>通用</t>
  </si>
  <si>
    <t>内裤</t>
  </si>
  <si>
    <t>儿童帽子</t>
  </si>
  <si>
    <t>时尚品线</t>
  </si>
  <si>
    <t>靴品线</t>
  </si>
  <si>
    <t>步行鞋品线</t>
  </si>
  <si>
    <t>棉拖品线</t>
  </si>
  <si>
    <t>休闲鞋品线</t>
  </si>
  <si>
    <t>INSOLE品线</t>
  </si>
  <si>
    <t>水鞋品线</t>
  </si>
  <si>
    <t>童鞋品线</t>
  </si>
  <si>
    <t>闪穿品线</t>
  </si>
  <si>
    <t>跑鞋品线</t>
  </si>
  <si>
    <t>凉拖品线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</si>
</sst>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9"/>
      <color theme="1"/>
      <name val="Segoe UI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2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E03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90A9DC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8" fontId="1" fillId="2" borderId="0" xfId="0" applyNumberFormat="1" applyFont="1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8" fontId="1" fillId="3" borderId="0" xfId="0" applyNumberFormat="1" applyFont="1" applyFill="1" applyAlignment="1">
      <alignment vertical="center" wrapText="1"/>
    </xf>
    <xf numFmtId="10" fontId="1" fillId="3" borderId="0" xfId="0" applyNumberFormat="1" applyFont="1" applyFill="1" applyAlignment="1">
      <alignment vertical="center" wrapText="1"/>
    </xf>
    <xf numFmtId="3" fontId="1" fillId="3" borderId="0" xfId="0" applyNumberFormat="1" applyFont="1" applyFill="1" applyAlignment="1">
      <alignment vertical="center" wrapText="1"/>
    </xf>
    <xf numFmtId="0" fontId="2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0" borderId="0" xfId="0" applyFont="1">
      <alignment vertical="center"/>
    </xf>
    <xf numFmtId="0" fontId="4" fillId="5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Protection="1">
      <alignment vertical="center"/>
    </xf>
    <xf numFmtId="0" fontId="3" fillId="0" borderId="2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Protection="1">
      <alignment vertical="center"/>
    </xf>
    <xf numFmtId="0" fontId="2" fillId="0" borderId="0" xfId="0" applyFont="1" applyAlignment="1">
      <alignment vertical="center" wrapText="1"/>
    </xf>
    <xf numFmtId="0" fontId="3" fillId="7" borderId="1" xfId="0" applyFont="1" applyFill="1" applyBorder="1" applyProtection="1">
      <alignment vertical="center"/>
    </xf>
    <xf numFmtId="0" fontId="3" fillId="7" borderId="1" xfId="0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9" fontId="3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5" xfId="0" applyFont="1" applyBorder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5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6" xfId="0" applyFont="1" applyBorder="1" applyProtection="1">
      <alignment vertical="center"/>
    </xf>
    <xf numFmtId="0" fontId="4" fillId="6" borderId="2" xfId="0" applyFont="1" applyFill="1" applyBorder="1" applyAlignment="1" applyProtection="1">
      <alignment horizontal="center" vertical="center"/>
    </xf>
    <xf numFmtId="0" fontId="4" fillId="6" borderId="3" xfId="0" applyFont="1" applyFill="1" applyBorder="1" applyAlignment="1" applyProtection="1">
      <alignment horizontal="center" vertical="center"/>
    </xf>
    <xf numFmtId="0" fontId="4" fillId="6" borderId="4" xfId="0" applyFont="1" applyFill="1" applyBorder="1" applyAlignment="1" applyProtection="1">
      <alignment horizontal="center" vertical="center"/>
    </xf>
    <xf numFmtId="0" fontId="3" fillId="0" borderId="3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3" fillId="4" borderId="1" xfId="0" applyFont="1" applyFill="1" applyBorder="1" applyProtection="1">
      <alignment vertical="center"/>
    </xf>
    <xf numFmtId="0" fontId="4" fillId="6" borderId="7" xfId="0" applyFont="1" applyFill="1" applyBorder="1" applyAlignment="1" applyProtection="1">
      <alignment horizontal="center" vertical="center"/>
    </xf>
    <xf numFmtId="0" fontId="3" fillId="4" borderId="4" xfId="0" applyFont="1" applyFill="1" applyBorder="1" applyProtection="1">
      <alignment vertical="center"/>
    </xf>
    <xf numFmtId="0" fontId="3" fillId="0" borderId="8" xfId="0" applyFont="1" applyBorder="1" applyProtection="1">
      <alignment vertical="center"/>
    </xf>
    <xf numFmtId="0" fontId="3" fillId="5" borderId="6" xfId="0" applyFont="1" applyFill="1" applyBorder="1" applyProtection="1">
      <alignment vertical="center"/>
    </xf>
    <xf numFmtId="0" fontId="3" fillId="5" borderId="6" xfId="0" applyFont="1" applyFill="1" applyBorder="1" applyAlignment="1" applyProtection="1">
      <alignment horizontal="center" vertical="center"/>
    </xf>
    <xf numFmtId="0" fontId="3" fillId="0" borderId="9" xfId="0" applyFont="1" applyBorder="1" applyProtection="1">
      <alignment vertical="center"/>
    </xf>
    <xf numFmtId="9" fontId="3" fillId="0" borderId="1" xfId="0" applyNumberFormat="1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3" fillId="8" borderId="1" xfId="0" applyFont="1" applyFill="1" applyBorder="1" applyProtection="1">
      <alignment vertical="center"/>
    </xf>
    <xf numFmtId="0" fontId="4" fillId="6" borderId="8" xfId="0" applyFont="1" applyFill="1" applyBorder="1" applyAlignment="1" applyProtection="1">
      <alignment horizontal="center" vertical="center"/>
    </xf>
    <xf numFmtId="0" fontId="4" fillId="0" borderId="7" xfId="0" applyFont="1" applyBorder="1" applyProtection="1">
      <alignment vertical="center"/>
    </xf>
    <xf numFmtId="0" fontId="4" fillId="0" borderId="9" xfId="0" applyFont="1" applyBorder="1" applyProtection="1">
      <alignment vertical="center"/>
    </xf>
    <xf numFmtId="0" fontId="3" fillId="9" borderId="1" xfId="0" applyFont="1" applyFill="1" applyBorder="1" applyAlignment="1" applyProtection="1">
      <alignment horizontal="center" vertical="center"/>
    </xf>
    <xf numFmtId="0" fontId="3" fillId="9" borderId="1" xfId="0" applyFont="1" applyFill="1" applyBorder="1" applyProtection="1">
      <alignment vertical="center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2" xfId="0" applyFont="1" applyFill="1" applyBorder="1" applyProtection="1">
      <alignment vertical="center"/>
    </xf>
    <xf numFmtId="0" fontId="3" fillId="5" borderId="3" xfId="0" applyFont="1" applyFill="1" applyBorder="1" applyProtection="1">
      <alignment vertical="center"/>
    </xf>
    <xf numFmtId="0" fontId="3" fillId="5" borderId="4" xfId="0" applyFont="1" applyFill="1" applyBorder="1" applyProtection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38100</xdr:colOff>
      <xdr:row>23</xdr:row>
      <xdr:rowOff>95250</xdr:rowOff>
    </xdr:from>
    <xdr:ext cx="685800" cy="3238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291840" y="5457825"/>
          <a:ext cx="685800" cy="323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23</xdr:row>
      <xdr:rowOff>85725</xdr:rowOff>
    </xdr:from>
    <xdr:ext cx="685800" cy="33337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4130040" y="5448300"/>
          <a:ext cx="685800" cy="3333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55</xdr:row>
      <xdr:rowOff>104775</xdr:rowOff>
    </xdr:from>
    <xdr:ext cx="1704975" cy="7089107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0" y="12449175"/>
          <a:ext cx="1704975" cy="7088505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55</xdr:row>
      <xdr:rowOff>85725</xdr:rowOff>
    </xdr:from>
    <xdr:ext cx="10548938" cy="421957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2005330" y="12430125"/>
          <a:ext cx="10548620" cy="4219575"/>
        </a:xfrm>
        <a:prstGeom prst="rect">
          <a:avLst/>
        </a:prstGeom>
      </xdr:spPr>
    </xdr:pic>
    <xdr:clientData/>
  </xdr:oneCellAnchor>
  <xdr:oneCellAnchor>
    <xdr:from>
      <xdr:col>13</xdr:col>
      <xdr:colOff>69207</xdr:colOff>
      <xdr:row>55</xdr:row>
      <xdr:rowOff>76200</xdr:rowOff>
    </xdr:from>
    <xdr:ext cx="7150743" cy="5764374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13736320" y="12420600"/>
          <a:ext cx="7151370" cy="5763895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38</xdr:row>
      <xdr:rowOff>0</xdr:rowOff>
    </xdr:from>
    <xdr:ext cx="685800" cy="409575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17814290" y="8362950"/>
          <a:ext cx="685800" cy="409575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46</xdr:row>
      <xdr:rowOff>0</xdr:rowOff>
    </xdr:from>
    <xdr:ext cx="685800" cy="409575"/>
    <xdr:pic>
      <xdr:nvPicPr>
        <xdr:cNvPr id="6" name="图片 5"/>
        <xdr:cNvPicPr/>
      </xdr:nvPicPr>
      <xdr:blipFill>
        <a:blip r:embed="rId4"/>
        <a:stretch>
          <a:fillRect/>
        </a:stretch>
      </xdr:blipFill>
      <xdr:spPr>
        <a:xfrm>
          <a:off x="17814290" y="10248900"/>
          <a:ext cx="685800" cy="409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6"/>
  <sheetViews>
    <sheetView topLeftCell="A41" workbookViewId="0">
      <selection activeCell="A70" sqref="A70:D72"/>
    </sheetView>
  </sheetViews>
  <sheetFormatPr defaultColWidth="10" defaultRowHeight="16.5" customHeight="1"/>
  <cols>
    <col min="1" max="1" width="28.8181818181818" customWidth="1"/>
    <col min="6" max="6" width="16.2045454545455"/>
    <col min="7" max="7" width="18.1893939393939"/>
    <col min="11" max="11" width="82.1818181818182" customWidth="1"/>
    <col min="12" max="12" width="9.12121212121212" style="32" customWidth="1"/>
    <col min="13" max="13" width="57.8181818181818" customWidth="1"/>
  </cols>
  <sheetData>
    <row r="1" ht="18.75" customHeight="1" spans="1:13">
      <c r="A1" s="58" t="s">
        <v>0</v>
      </c>
      <c r="B1" s="12"/>
      <c r="C1" s="12"/>
      <c r="D1" s="12"/>
      <c r="E1" s="12"/>
      <c r="F1" s="12"/>
      <c r="G1" s="12"/>
      <c r="H1" s="12"/>
      <c r="I1" s="12"/>
    </row>
    <row r="2" customHeight="1" spans="1:13">
      <c r="A2" s="9" t="s">
        <v>1</v>
      </c>
      <c r="B2" s="59"/>
      <c r="C2" s="59"/>
      <c r="D2" s="59"/>
      <c r="E2" s="59"/>
      <c r="F2" s="59"/>
      <c r="G2" s="59"/>
      <c r="H2" s="59"/>
      <c r="I2" s="59"/>
    </row>
    <row r="3" customHeight="1" spans="1:13">
      <c r="A3" s="60" t="s">
        <v>2</v>
      </c>
      <c r="B3" s="61"/>
      <c r="C3" s="62"/>
      <c r="D3" s="59"/>
      <c r="E3" s="60" t="s">
        <v>3</v>
      </c>
      <c r="F3" s="61"/>
      <c r="G3" s="61"/>
      <c r="H3" s="61"/>
      <c r="I3" s="62"/>
    </row>
    <row r="4" customHeight="1" spans="1:13">
      <c r="A4" s="41" t="s">
        <v>4</v>
      </c>
      <c r="B4" s="40"/>
      <c r="C4" s="19"/>
      <c r="D4" s="59"/>
      <c r="E4" s="32" t="s">
        <v>5</v>
      </c>
      <c r="F4" s="32" t="s">
        <v>6</v>
      </c>
      <c r="G4" s="32" t="s">
        <v>7</v>
      </c>
      <c r="H4" s="32" t="s">
        <v>8</v>
      </c>
      <c r="I4" s="32"/>
    </row>
    <row r="5" customHeight="1" spans="1:13">
      <c r="A5" s="41" t="s">
        <v>9</v>
      </c>
      <c r="B5" s="40"/>
      <c r="C5" s="19"/>
      <c r="D5" s="59"/>
      <c r="E5" s="32">
        <v>1</v>
      </c>
      <c r="F5" s="32" t="s">
        <v>10</v>
      </c>
      <c r="G5" s="32"/>
      <c r="H5" s="31" t="s">
        <v>11</v>
      </c>
      <c r="I5" s="32"/>
    </row>
    <row r="6" customHeight="1" spans="1:13">
      <c r="A6" s="41" t="s">
        <v>12</v>
      </c>
      <c r="B6" s="40"/>
      <c r="C6" s="19"/>
      <c r="D6" s="59"/>
      <c r="E6" s="32">
        <v>2</v>
      </c>
      <c r="F6" s="32" t="s">
        <v>10</v>
      </c>
      <c r="G6" s="32"/>
      <c r="H6" s="31" t="s">
        <v>11</v>
      </c>
      <c r="I6" s="32"/>
    </row>
    <row r="7" customHeight="1" spans="1:13">
      <c r="B7" s="59"/>
      <c r="C7" s="59"/>
      <c r="D7" s="59"/>
      <c r="E7" s="32"/>
      <c r="F7" s="32"/>
      <c r="G7" s="32"/>
      <c r="H7" s="32"/>
      <c r="I7" s="32"/>
    </row>
    <row r="8" customHeight="1" spans="1:13">
      <c r="A8" s="59"/>
      <c r="B8" s="59"/>
      <c r="C8" s="59"/>
      <c r="D8" s="59"/>
      <c r="E8" s="32"/>
      <c r="F8" s="32"/>
      <c r="G8" s="32"/>
      <c r="H8" s="32"/>
      <c r="I8" s="32"/>
    </row>
    <row r="9" customHeight="1" spans="1:13">
      <c r="A9" s="59"/>
      <c r="B9" s="59"/>
      <c r="C9" s="59"/>
      <c r="D9" s="59"/>
      <c r="E9" s="32"/>
      <c r="F9" s="32"/>
      <c r="G9" s="32"/>
      <c r="H9" s="32"/>
      <c r="I9" s="32"/>
    </row>
    <row r="10" customHeight="1" spans="1:13">
      <c r="A10" s="59"/>
      <c r="B10" s="59"/>
      <c r="C10" s="59"/>
      <c r="D10" s="59"/>
      <c r="E10" s="59"/>
      <c r="F10" s="59"/>
      <c r="G10" s="59"/>
      <c r="H10" s="59"/>
      <c r="I10" s="59"/>
    </row>
    <row r="11" ht="18.75" customHeight="1" spans="1:13">
      <c r="A11" s="58" t="s">
        <v>13</v>
      </c>
      <c r="B11" s="12"/>
      <c r="C11" s="12"/>
      <c r="D11" s="12"/>
      <c r="E11" s="12"/>
      <c r="F11" s="12"/>
      <c r="G11" s="12"/>
      <c r="H11" s="12"/>
      <c r="I11" s="12"/>
    </row>
    <row r="12" ht="54.75" customHeight="1" spans="1:13">
      <c r="B12" s="63"/>
      <c r="K12" s="64" t="s">
        <v>14</v>
      </c>
      <c r="M12" s="20"/>
    </row>
    <row r="13" customHeight="1" spans="1:13">
      <c r="A13" s="65" t="s">
        <v>15</v>
      </c>
      <c r="B13" s="65"/>
      <c r="C13" s="65"/>
      <c r="D13" s="65"/>
      <c r="F13" s="65" t="s">
        <v>16</v>
      </c>
      <c r="K13" s="64"/>
    </row>
    <row r="14" customHeight="1" spans="1:13">
      <c r="A14" s="31" t="s">
        <v>17</v>
      </c>
      <c r="B14" s="31" t="s">
        <v>18</v>
      </c>
      <c r="C14" s="31" t="s">
        <v>19</v>
      </c>
      <c r="D14" s="31" t="s">
        <v>20</v>
      </c>
      <c r="F14" s="26" t="s">
        <v>21</v>
      </c>
      <c r="G14" s="31" t="s">
        <v>22</v>
      </c>
      <c r="H14" s="31"/>
      <c r="I14" s="31"/>
      <c r="K14" s="64"/>
    </row>
    <row r="15" customHeight="1" spans="1:13">
      <c r="A15" s="31">
        <v>15</v>
      </c>
      <c r="B15" s="31">
        <v>30</v>
      </c>
      <c r="C15" s="31">
        <v>2</v>
      </c>
      <c r="D15" s="31">
        <v>7</v>
      </c>
      <c r="F15" s="29" t="s">
        <v>23</v>
      </c>
      <c r="G15" s="29" t="s">
        <v>24</v>
      </c>
      <c r="H15" s="29" t="s">
        <v>25</v>
      </c>
      <c r="I15" s="29" t="s">
        <v>8</v>
      </c>
      <c r="K15" s="64"/>
    </row>
    <row r="16" customHeight="1" spans="1:13">
      <c r="F16" s="31">
        <v>7</v>
      </c>
      <c r="G16" s="31" t="s">
        <v>26</v>
      </c>
      <c r="H16" s="31">
        <v>35</v>
      </c>
      <c r="I16" s="31" t="s">
        <v>11</v>
      </c>
      <c r="K16" s="64"/>
    </row>
    <row r="17" customHeight="1" spans="1:11">
      <c r="F17" s="31"/>
      <c r="G17" s="31" t="s">
        <v>27</v>
      </c>
      <c r="H17" s="31">
        <v>55</v>
      </c>
      <c r="I17" s="31"/>
      <c r="K17" s="64"/>
    </row>
    <row r="19" customHeight="1" spans="1:11">
      <c r="A19" s="65" t="s">
        <v>28</v>
      </c>
      <c r="B19" s="65"/>
      <c r="C19" s="65"/>
      <c r="D19" s="65"/>
      <c r="F19" s="65" t="s">
        <v>16</v>
      </c>
    </row>
    <row r="20" customHeight="1" spans="1:11">
      <c r="A20" s="31" t="s">
        <v>29</v>
      </c>
      <c r="B20" s="31"/>
      <c r="C20" s="31"/>
      <c r="D20" s="31"/>
      <c r="F20" s="26" t="s">
        <v>21</v>
      </c>
      <c r="G20" s="31" t="s">
        <v>30</v>
      </c>
      <c r="H20" s="31"/>
      <c r="I20" s="31"/>
    </row>
    <row r="21" customHeight="1" spans="1:11">
      <c r="A21" s="31" t="s">
        <v>31</v>
      </c>
      <c r="B21" s="31"/>
      <c r="C21" s="31"/>
      <c r="D21" s="31"/>
      <c r="F21" s="29" t="s">
        <v>23</v>
      </c>
      <c r="G21" s="29" t="s">
        <v>24</v>
      </c>
      <c r="H21" s="29" t="s">
        <v>25</v>
      </c>
      <c r="I21" s="29" t="s">
        <v>8</v>
      </c>
    </row>
    <row r="22" customHeight="1" spans="1:11">
      <c r="F22" s="31">
        <v>7</v>
      </c>
      <c r="G22" s="31" t="s">
        <v>26</v>
      </c>
      <c r="H22" s="31">
        <v>40</v>
      </c>
      <c r="I22" s="31" t="s">
        <v>11</v>
      </c>
    </row>
    <row r="23" customHeight="1" spans="1:11">
      <c r="F23" s="31"/>
      <c r="G23" s="31" t="s">
        <v>27</v>
      </c>
      <c r="H23" s="31">
        <v>60</v>
      </c>
      <c r="I23" s="31"/>
    </row>
    <row r="24" ht="41.25" customHeight="1" spans="1:11">
      <c r="A24" s="20" t="s">
        <v>32</v>
      </c>
      <c r="C24" s="9"/>
      <c r="D24" s="9"/>
    </row>
    <row r="30" ht="18.75" customHeight="1" spans="1:11">
      <c r="A30" s="58" t="s">
        <v>33</v>
      </c>
      <c r="B30" s="12"/>
      <c r="C30" s="12"/>
      <c r="D30" s="12"/>
      <c r="E30" s="12"/>
      <c r="F30" s="12"/>
      <c r="G30" s="12"/>
      <c r="H30" s="12"/>
      <c r="I30" s="12"/>
    </row>
    <row r="31" customHeight="1" spans="1:11">
      <c r="A31" s="9" t="s">
        <v>34</v>
      </c>
      <c r="B31" s="59"/>
      <c r="C31" s="59"/>
      <c r="D31" s="59"/>
      <c r="E31" s="59"/>
      <c r="F31" s="59"/>
      <c r="G31" s="59"/>
      <c r="H31" s="59"/>
      <c r="I31" s="59"/>
    </row>
    <row r="32" customHeight="1" spans="1:11">
      <c r="A32" s="65" t="s">
        <v>35</v>
      </c>
      <c r="B32" s="65"/>
      <c r="C32" s="65"/>
      <c r="D32" s="65"/>
      <c r="E32" s="65"/>
      <c r="F32" s="65"/>
      <c r="G32" s="65"/>
    </row>
    <row r="33" customHeight="1" spans="1:13">
      <c r="A33" s="31"/>
      <c r="B33" s="31" t="s">
        <v>36</v>
      </c>
      <c r="C33" s="31" t="s">
        <v>37</v>
      </c>
      <c r="D33" s="31" t="s">
        <v>38</v>
      </c>
      <c r="E33" s="31" t="s">
        <v>39</v>
      </c>
      <c r="F33" s="31" t="s">
        <v>40</v>
      </c>
      <c r="G33" s="31" t="s">
        <v>41</v>
      </c>
    </row>
    <row r="34" customHeight="1" spans="1:13">
      <c r="A34" s="31" t="s">
        <v>42</v>
      </c>
      <c r="B34" s="31">
        <v>25</v>
      </c>
      <c r="C34" s="31">
        <v>27</v>
      </c>
      <c r="D34" s="31">
        <v>23</v>
      </c>
      <c r="E34" s="31">
        <v>20</v>
      </c>
      <c r="F34" s="31">
        <v>18</v>
      </c>
      <c r="G34" s="31">
        <v>16</v>
      </c>
    </row>
    <row r="35" customHeight="1" spans="1:13">
      <c r="A35" s="31" t="s">
        <v>43</v>
      </c>
      <c r="B35" s="25">
        <v>0</v>
      </c>
      <c r="C35" s="25">
        <v>0.4</v>
      </c>
      <c r="D35" s="25">
        <v>0.3</v>
      </c>
      <c r="E35" s="25">
        <v>0.2</v>
      </c>
      <c r="F35" s="25">
        <v>0.1</v>
      </c>
      <c r="G35" s="31">
        <v>0</v>
      </c>
    </row>
    <row r="37" customHeight="1" spans="1:13">
      <c r="A37" s="65" t="s">
        <v>44</v>
      </c>
      <c r="B37" s="65"/>
      <c r="C37" s="65"/>
      <c r="D37" s="65"/>
    </row>
    <row r="38" customHeight="1" spans="1:13">
      <c r="A38" s="31" t="s">
        <v>45</v>
      </c>
      <c r="B38" s="31" t="s">
        <v>46</v>
      </c>
      <c r="C38" s="31" t="s">
        <v>47</v>
      </c>
      <c r="D38" s="31" t="s">
        <v>48</v>
      </c>
    </row>
    <row r="39" customHeight="1" spans="1:13">
      <c r="A39" s="31"/>
      <c r="B39" s="31"/>
      <c r="C39" s="31"/>
      <c r="D39" s="31"/>
    </row>
    <row r="43" customHeight="1" spans="1:13">
      <c r="G43" s="59"/>
      <c r="L43" s="13"/>
    </row>
    <row r="44" ht="18.75" customHeight="1" spans="1:13">
      <c r="A44" s="58" t="s">
        <v>49</v>
      </c>
      <c r="B44" s="12"/>
      <c r="C44" s="12"/>
      <c r="D44" s="12"/>
      <c r="E44" s="12"/>
      <c r="F44" s="12"/>
      <c r="H44" s="58" t="s">
        <v>50</v>
      </c>
      <c r="I44" s="12"/>
      <c r="J44" s="12"/>
      <c r="K44" s="12"/>
      <c r="L44" s="12"/>
      <c r="M44" s="12"/>
    </row>
    <row r="45" customHeight="1" spans="1:13">
      <c r="A45" s="65" t="s">
        <v>51</v>
      </c>
      <c r="H45" s="65" t="s">
        <v>52</v>
      </c>
      <c r="L45" s="13"/>
    </row>
    <row r="46" customHeight="1" spans="1:13">
      <c r="A46" s="9" t="s">
        <v>53</v>
      </c>
      <c r="H46" s="9" t="s">
        <v>54</v>
      </c>
      <c r="L46" s="13"/>
    </row>
    <row r="47" customHeight="1" spans="1:13">
      <c r="A47" s="9" t="s">
        <v>55</v>
      </c>
      <c r="H47" s="9" t="s">
        <v>56</v>
      </c>
      <c r="L47" s="13"/>
    </row>
    <row r="48" customHeight="1" spans="1:13">
      <c r="L48" s="13"/>
    </row>
    <row r="49" customHeight="1" spans="1:12">
      <c r="A49" s="65" t="s">
        <v>57</v>
      </c>
      <c r="H49" s="65" t="s">
        <v>58</v>
      </c>
      <c r="L49" s="13"/>
    </row>
    <row r="50" customHeight="1" spans="1:12">
      <c r="A50" s="9" t="s">
        <v>53</v>
      </c>
      <c r="H50" s="66" t="s">
        <v>59</v>
      </c>
      <c r="I50" s="67"/>
      <c r="J50" s="67"/>
      <c r="K50" s="66" t="s">
        <v>60</v>
      </c>
      <c r="L50" s="13"/>
    </row>
    <row r="51" customHeight="1" spans="1:12">
      <c r="A51" s="9" t="s">
        <v>55</v>
      </c>
      <c r="H51" s="66" t="s">
        <v>61</v>
      </c>
      <c r="I51" s="67"/>
      <c r="J51" s="67"/>
      <c r="K51" s="67" t="s">
        <v>62</v>
      </c>
      <c r="L51" s="13"/>
    </row>
    <row r="52" customHeight="1" spans="1:12">
      <c r="H52" s="66" t="s">
        <v>63</v>
      </c>
      <c r="I52" s="67"/>
      <c r="J52" s="67"/>
      <c r="K52" s="66" t="s">
        <v>64</v>
      </c>
      <c r="L52" s="13"/>
    </row>
    <row r="53" customHeight="1" spans="1:12">
      <c r="A53" s="65" t="s">
        <v>65</v>
      </c>
      <c r="L53" s="13"/>
    </row>
    <row r="54" customHeight="1" spans="1:12">
      <c r="A54" s="9" t="s">
        <v>53</v>
      </c>
      <c r="H54" s="65" t="s">
        <v>66</v>
      </c>
      <c r="L54" s="13"/>
    </row>
    <row r="55" customHeight="1" spans="1:12">
      <c r="A55" s="9" t="s">
        <v>55</v>
      </c>
      <c r="H55" s="9" t="s">
        <v>67</v>
      </c>
      <c r="K55" s="66" t="s">
        <v>60</v>
      </c>
      <c r="L55" s="13"/>
    </row>
    <row r="56" customHeight="1" spans="1:12">
      <c r="L56" s="13"/>
    </row>
    <row r="57" customHeight="1" spans="1:12">
      <c r="A57" s="65" t="s">
        <v>68</v>
      </c>
      <c r="L57" s="13"/>
    </row>
    <row r="58" customHeight="1" spans="1:12">
      <c r="A58" s="26" t="s">
        <v>69</v>
      </c>
      <c r="B58" s="26" t="s">
        <v>46</v>
      </c>
      <c r="C58" s="41" t="s">
        <v>70</v>
      </c>
      <c r="D58" s="19"/>
      <c r="E58" s="26" t="s">
        <v>8</v>
      </c>
      <c r="F58" s="26"/>
      <c r="H58" s="65" t="s">
        <v>71</v>
      </c>
      <c r="L58" s="13"/>
    </row>
    <row r="59" customHeight="1" spans="1:12">
      <c r="A59" s="26" t="s">
        <v>72</v>
      </c>
      <c r="B59" s="26"/>
      <c r="C59" s="41" t="s">
        <v>73</v>
      </c>
      <c r="D59" s="19"/>
      <c r="E59" s="31" t="s">
        <v>11</v>
      </c>
      <c r="F59" s="26"/>
      <c r="H59" s="9" t="s">
        <v>74</v>
      </c>
      <c r="K59" s="66" t="s">
        <v>60</v>
      </c>
      <c r="L59" s="13"/>
    </row>
    <row r="60" customHeight="1" spans="1:12">
      <c r="A60" s="26" t="s">
        <v>75</v>
      </c>
      <c r="B60" s="26"/>
      <c r="C60" s="41" t="s">
        <v>76</v>
      </c>
      <c r="D60" s="19"/>
      <c r="E60" s="26"/>
      <c r="F60" s="26"/>
      <c r="H60" s="9" t="s">
        <v>77</v>
      </c>
      <c r="L60" s="13"/>
    </row>
    <row r="61" customHeight="1" spans="1:12">
      <c r="L61" s="13"/>
    </row>
    <row r="62" customHeight="1" spans="1:12">
      <c r="A62" s="65" t="s">
        <v>78</v>
      </c>
      <c r="L62" s="13"/>
    </row>
    <row r="63" customHeight="1" spans="1:12">
      <c r="A63" s="9" t="s">
        <v>78</v>
      </c>
      <c r="D63" s="66"/>
      <c r="L63" s="13"/>
    </row>
    <row r="64" customHeight="1" spans="1:12">
      <c r="A64" s="9" t="s">
        <v>79</v>
      </c>
      <c r="L64" s="13"/>
    </row>
    <row r="65" customHeight="1" spans="1:12">
      <c r="L65" s="13"/>
    </row>
    <row r="66" customHeight="1" spans="1:12">
      <c r="L66" s="13"/>
    </row>
    <row r="67" customHeight="1" spans="1:12">
      <c r="L67" s="13"/>
    </row>
    <row r="68" ht="18.75" customHeight="1" spans="1:12">
      <c r="A68" s="58" t="s">
        <v>80</v>
      </c>
      <c r="B68" s="12"/>
      <c r="C68" s="12"/>
      <c r="D68" s="12"/>
      <c r="E68" s="12"/>
      <c r="F68" s="12"/>
      <c r="G68" s="12"/>
      <c r="H68" s="12"/>
      <c r="I68" s="12"/>
      <c r="L68" s="13"/>
    </row>
    <row r="69" customHeight="1" spans="1:12">
      <c r="A69" s="9" t="s">
        <v>81</v>
      </c>
      <c r="L69" s="13"/>
    </row>
    <row r="70" ht="91" customHeight="1" spans="1:12">
      <c r="A70" s="68" t="s">
        <v>82</v>
      </c>
      <c r="B70" s="68"/>
      <c r="C70" s="68"/>
      <c r="D70" s="68"/>
      <c r="L70" s="13"/>
    </row>
    <row r="71" customHeight="1" spans="1:12">
      <c r="A71" s="68"/>
      <c r="B71" s="68"/>
      <c r="C71" s="68"/>
      <c r="D71" s="68"/>
      <c r="L71" s="13"/>
    </row>
    <row r="72" ht="42" customHeight="1" spans="1:12">
      <c r="A72" s="68"/>
      <c r="B72" s="68"/>
      <c r="C72" s="68"/>
      <c r="D72" s="68"/>
      <c r="L72" s="13"/>
    </row>
    <row r="73" customHeight="1" spans="1:12">
      <c r="A73" s="69"/>
      <c r="L73" s="13"/>
    </row>
    <row r="74" customHeight="1" spans="1:12">
      <c r="A74" s="69" t="s">
        <v>83</v>
      </c>
      <c r="L74" s="13"/>
    </row>
    <row r="75" customHeight="1" spans="1:12">
      <c r="L75" s="13"/>
    </row>
    <row r="76" customHeight="1" spans="1:12">
      <c r="A76" s="65" t="s">
        <v>84</v>
      </c>
      <c r="L76" s="13"/>
    </row>
    <row r="77" customHeight="1" spans="1:12">
      <c r="A77" s="9" t="s">
        <v>85</v>
      </c>
      <c r="L77" s="13"/>
    </row>
    <row r="78" customHeight="1" spans="1:12">
      <c r="A78" s="31" t="s">
        <v>86</v>
      </c>
      <c r="B78" s="31" t="s">
        <v>87</v>
      </c>
      <c r="C78" s="70" t="s">
        <v>88</v>
      </c>
      <c r="D78" s="18"/>
      <c r="E78" s="18"/>
      <c r="F78" s="71"/>
      <c r="L78" s="13"/>
    </row>
    <row r="79" customHeight="1" spans="1:12">
      <c r="A79" s="31" t="s">
        <v>89</v>
      </c>
      <c r="B79" s="31"/>
      <c r="C79" s="70" t="s">
        <v>90</v>
      </c>
      <c r="D79" s="18"/>
      <c r="E79" s="18"/>
      <c r="F79" s="71"/>
      <c r="L79" s="13"/>
    </row>
    <row r="80" customHeight="1" spans="1:12">
      <c r="L80" s="13"/>
    </row>
    <row r="81" customHeight="1" spans="1:12">
      <c r="A81" s="65" t="s">
        <v>91</v>
      </c>
      <c r="L81" s="13"/>
    </row>
    <row r="82" customHeight="1" spans="1:12">
      <c r="A82" s="9" t="s">
        <v>92</v>
      </c>
    </row>
    <row r="83" customHeight="1" spans="1:12">
      <c r="A83" s="26" t="s">
        <v>86</v>
      </c>
      <c r="B83" s="26" t="s">
        <v>46</v>
      </c>
      <c r="C83" s="26" t="s">
        <v>93</v>
      </c>
      <c r="D83" s="26" t="s">
        <v>94</v>
      </c>
      <c r="E83" s="26" t="s">
        <v>8</v>
      </c>
      <c r="F83" s="26"/>
    </row>
    <row r="84" customHeight="1" spans="1:12">
      <c r="A84" s="26" t="s">
        <v>95</v>
      </c>
      <c r="B84" s="26"/>
      <c r="C84" s="26"/>
      <c r="D84" s="26"/>
      <c r="E84" s="31" t="s">
        <v>11</v>
      </c>
      <c r="F84" s="26"/>
    </row>
    <row r="85" customHeight="1" spans="1:12">
      <c r="A85" s="26" t="s">
        <v>96</v>
      </c>
      <c r="B85" s="26"/>
      <c r="C85" s="26"/>
      <c r="D85" s="26"/>
      <c r="E85" s="26"/>
      <c r="F85" s="26"/>
    </row>
    <row r="87" customHeight="1" spans="1:12">
      <c r="A87" s="65" t="s">
        <v>97</v>
      </c>
    </row>
    <row r="88" customHeight="1" spans="1:12">
      <c r="A88" s="69" t="s">
        <v>98</v>
      </c>
    </row>
    <row r="89" customHeight="1" spans="1:12">
      <c r="A89" s="69" t="s">
        <v>99</v>
      </c>
    </row>
    <row r="92" customHeight="1" spans="1:12">
      <c r="A92" s="65" t="s">
        <v>100</v>
      </c>
    </row>
    <row r="93" customHeight="1" spans="1:12">
      <c r="A93" s="26" t="s">
        <v>86</v>
      </c>
      <c r="B93" s="26" t="s">
        <v>46</v>
      </c>
      <c r="C93" s="26" t="s">
        <v>101</v>
      </c>
      <c r="D93" s="26" t="s">
        <v>94</v>
      </c>
      <c r="E93" s="26" t="s">
        <v>8</v>
      </c>
      <c r="F93" s="26"/>
    </row>
    <row r="94" customHeight="1" spans="1:12">
      <c r="A94" s="26" t="s">
        <v>100</v>
      </c>
      <c r="B94" s="26"/>
      <c r="C94" s="26"/>
      <c r="D94" s="26"/>
      <c r="E94" s="31" t="s">
        <v>11</v>
      </c>
      <c r="F94" s="26"/>
    </row>
    <row r="95" customHeight="1" spans="1:12">
      <c r="A95" s="26"/>
      <c r="B95" s="26"/>
      <c r="C95" s="26"/>
      <c r="D95" s="26"/>
      <c r="E95" s="26"/>
      <c r="F95" s="26"/>
    </row>
    <row r="99" customHeight="1" spans="12:12">
      <c r="L99" s="13"/>
    </row>
    <row r="100" customHeight="1" spans="12:12">
      <c r="L100" s="13"/>
    </row>
    <row r="101" customHeight="1" spans="12:12">
      <c r="L101" s="13"/>
    </row>
    <row r="102" customHeight="1" spans="12:12">
      <c r="L102" s="13"/>
    </row>
    <row r="103" customHeight="1" spans="12:12">
      <c r="L103" s="13"/>
    </row>
    <row r="104" customHeight="1" spans="12:12">
      <c r="L104" s="13"/>
    </row>
    <row r="105" customHeight="1" spans="12:12">
      <c r="L105" s="13"/>
    </row>
    <row r="106" customHeight="1" spans="12:12">
      <c r="L106" s="13"/>
    </row>
    <row r="107" customHeight="1" spans="12:12">
      <c r="L107" s="13"/>
    </row>
    <row r="108" customHeight="1" spans="12:12">
      <c r="L108" s="13"/>
    </row>
    <row r="109" customHeight="1" spans="12:12">
      <c r="L109" s="13"/>
    </row>
    <row r="110" customHeight="1" spans="12:12">
      <c r="L110" s="13"/>
    </row>
    <row r="111" customHeight="1" spans="12:12">
      <c r="L111" s="13"/>
    </row>
    <row r="112" customHeight="1" spans="12:12">
      <c r="L112" s="13"/>
    </row>
    <row r="113" customHeight="1" spans="12:12">
      <c r="L113" s="13"/>
    </row>
    <row r="114" customHeight="1" spans="12:12">
      <c r="L114" s="13"/>
    </row>
    <row r="115" customHeight="1" spans="12:12">
      <c r="L115" s="13"/>
    </row>
    <row r="116" customHeight="1" spans="12:12">
      <c r="L116" s="13"/>
    </row>
  </sheetData>
  <mergeCells count="41">
    <mergeCell ref="A1:I1"/>
    <mergeCell ref="A3:C3"/>
    <mergeCell ref="E3:I3"/>
    <mergeCell ref="A4:C4"/>
    <mergeCell ref="A5:C5"/>
    <mergeCell ref="A6:C6"/>
    <mergeCell ref="A11:I11"/>
    <mergeCell ref="A13:D13"/>
    <mergeCell ref="F13:I13"/>
    <mergeCell ref="G14:I14"/>
    <mergeCell ref="A19:D19"/>
    <mergeCell ref="F19:I19"/>
    <mergeCell ref="A20:D20"/>
    <mergeCell ref="G20:I20"/>
    <mergeCell ref="A21:D21"/>
    <mergeCell ref="A30:I30"/>
    <mergeCell ref="A32:G32"/>
    <mergeCell ref="A37:D37"/>
    <mergeCell ref="A44:F44"/>
    <mergeCell ref="H44:M44"/>
    <mergeCell ref="A45:F45"/>
    <mergeCell ref="H45:M45"/>
    <mergeCell ref="A49:F49"/>
    <mergeCell ref="H49:M49"/>
    <mergeCell ref="A53:F53"/>
    <mergeCell ref="H54:M54"/>
    <mergeCell ref="A57:F57"/>
    <mergeCell ref="C58:D58"/>
    <mergeCell ref="H58:M58"/>
    <mergeCell ref="C59:D59"/>
    <mergeCell ref="C60:D60"/>
    <mergeCell ref="A62:F62"/>
    <mergeCell ref="A68:I68"/>
    <mergeCell ref="A76:F76"/>
    <mergeCell ref="C78:F78"/>
    <mergeCell ref="C79:F79"/>
    <mergeCell ref="A81:F81"/>
    <mergeCell ref="A87:F87"/>
    <mergeCell ref="A92:F92"/>
    <mergeCell ref="K12:K17"/>
    <mergeCell ref="A70:D7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54"/>
  <sheetViews>
    <sheetView topLeftCell="A39" workbookViewId="0">
      <selection activeCell="P3" sqref="P3"/>
    </sheetView>
  </sheetViews>
  <sheetFormatPr defaultColWidth="10" defaultRowHeight="16.5" customHeight="1"/>
  <cols>
    <col min="2" max="2" width="13.1287878787879"/>
    <col min="3" max="3" width="15.6590909090909" customWidth="1"/>
    <col min="4" max="4" width="22.6212121212121" customWidth="1"/>
    <col min="5" max="5" width="11.5984848484848"/>
    <col min="6" max="6" width="14.1212121212121"/>
    <col min="7" max="7" width="16.3712121212121" customWidth="1"/>
    <col min="10" max="10" width="12.4090909090909"/>
    <col min="11" max="11" width="7.90151515151515"/>
    <col min="12" max="12" width="9.25"/>
    <col min="16" max="16" width="29.0151515151515"/>
  </cols>
  <sheetData>
    <row r="1" ht="18.75" customHeight="1" spans="1:14">
      <c r="A1" s="37" t="s">
        <v>102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ht="27.75" customHeight="1" spans="1:14">
      <c r="A2" s="17" t="s">
        <v>103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19"/>
    </row>
    <row r="3" customHeight="1" spans="1:14">
      <c r="A3" s="26" t="s">
        <v>104</v>
      </c>
      <c r="B3" s="26" t="s">
        <v>105</v>
      </c>
      <c r="C3" s="26" t="s">
        <v>106</v>
      </c>
      <c r="D3" s="26" t="s">
        <v>107</v>
      </c>
      <c r="E3" s="41"/>
      <c r="F3" s="40"/>
      <c r="G3" s="40"/>
      <c r="H3" s="40"/>
      <c r="I3" s="40"/>
      <c r="J3" s="40"/>
      <c r="K3" s="19"/>
      <c r="L3" s="26" t="s">
        <v>108</v>
      </c>
      <c r="M3" s="26" t="s">
        <v>109</v>
      </c>
      <c r="N3" s="26" t="s">
        <v>110</v>
      </c>
    </row>
    <row r="4" customHeight="1" spans="1:14">
      <c r="A4" s="26" t="s">
        <v>105</v>
      </c>
      <c r="B4" s="26" t="s">
        <v>111</v>
      </c>
      <c r="C4" s="26" t="s">
        <v>112</v>
      </c>
      <c r="D4" s="26" t="s">
        <v>113</v>
      </c>
      <c r="E4" s="26" t="s">
        <v>114</v>
      </c>
      <c r="F4" s="26"/>
      <c r="G4" s="26" t="s">
        <v>115</v>
      </c>
      <c r="H4" s="26" t="s">
        <v>116</v>
      </c>
      <c r="I4" s="26" t="s">
        <v>117</v>
      </c>
      <c r="J4" s="26" t="s">
        <v>118</v>
      </c>
      <c r="K4" s="42" t="s">
        <v>119</v>
      </c>
      <c r="L4" s="42" t="s">
        <v>120</v>
      </c>
      <c r="M4" s="42" t="s">
        <v>121</v>
      </c>
      <c r="N4" s="42" t="s">
        <v>122</v>
      </c>
    </row>
    <row r="5" customHeight="1" spans="1:14">
      <c r="A5" s="26"/>
      <c r="B5" s="26"/>
      <c r="C5" s="26"/>
      <c r="D5" s="26"/>
      <c r="E5" s="26"/>
      <c r="F5" s="26" t="s">
        <v>123</v>
      </c>
      <c r="G5" s="26">
        <v>500</v>
      </c>
      <c r="H5" s="26">
        <v>500</v>
      </c>
      <c r="I5" s="26">
        <v>500</v>
      </c>
      <c r="J5" s="26">
        <v>600</v>
      </c>
      <c r="K5" s="26">
        <v>700</v>
      </c>
      <c r="L5" s="26">
        <v>800</v>
      </c>
      <c r="M5" s="26">
        <v>900</v>
      </c>
      <c r="N5" s="26">
        <v>1000</v>
      </c>
    </row>
    <row r="6" customHeight="1" spans="1:14">
      <c r="A6" s="26"/>
      <c r="B6" s="26"/>
      <c r="C6" s="26"/>
      <c r="D6" s="26"/>
      <c r="E6" s="26"/>
      <c r="F6" s="26" t="s">
        <v>124</v>
      </c>
      <c r="G6" s="26">
        <v>505</v>
      </c>
      <c r="H6" s="26">
        <v>550</v>
      </c>
      <c r="I6" s="26">
        <v>560</v>
      </c>
      <c r="J6" s="26">
        <v>650</v>
      </c>
      <c r="K6" s="26">
        <v>750</v>
      </c>
      <c r="L6" s="26">
        <v>850</v>
      </c>
      <c r="M6" s="26">
        <v>950</v>
      </c>
      <c r="N6" s="26">
        <v>1100</v>
      </c>
    </row>
    <row r="7" customHeight="1" spans="1:14">
      <c r="A7" s="26"/>
      <c r="B7" s="26"/>
      <c r="C7" s="26"/>
      <c r="D7" s="26"/>
      <c r="E7" s="26"/>
      <c r="F7" s="26" t="s">
        <v>125</v>
      </c>
      <c r="G7" s="26">
        <v>489</v>
      </c>
      <c r="H7" s="26">
        <v>488</v>
      </c>
      <c r="I7" s="26">
        <v>520</v>
      </c>
      <c r="J7" s="26">
        <v>620</v>
      </c>
      <c r="K7" s="26">
        <v>680</v>
      </c>
      <c r="L7" s="26">
        <v>789</v>
      </c>
      <c r="M7" s="26">
        <v>800</v>
      </c>
      <c r="N7" s="26">
        <v>1200</v>
      </c>
    </row>
    <row r="8" customHeight="1" spans="1:14">
      <c r="A8" s="26"/>
      <c r="B8" s="26"/>
      <c r="C8" s="26"/>
      <c r="D8" s="26"/>
      <c r="E8" s="26"/>
      <c r="F8" s="26" t="s">
        <v>126</v>
      </c>
      <c r="G8" s="26"/>
      <c r="H8" s="26"/>
      <c r="I8" s="26"/>
      <c r="J8" s="26"/>
      <c r="K8" s="26"/>
      <c r="L8" s="26"/>
      <c r="M8" s="26"/>
      <c r="N8" s="26"/>
    </row>
    <row r="11" ht="18.75" customHeight="1" spans="1:14">
      <c r="A11" s="37" t="s">
        <v>127</v>
      </c>
      <c r="B11" s="38"/>
      <c r="C11" s="38"/>
      <c r="D11" s="38"/>
      <c r="E11" s="38"/>
      <c r="F11" s="43"/>
      <c r="G11" s="43"/>
      <c r="H11" s="43"/>
      <c r="I11" s="38"/>
      <c r="J11" s="38"/>
      <c r="K11" s="38"/>
      <c r="L11" s="38"/>
      <c r="M11" s="38"/>
      <c r="N11" s="39"/>
    </row>
    <row r="12" ht="27.75" customHeight="1" spans="1:14">
      <c r="A12" s="17" t="s">
        <v>128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9"/>
    </row>
    <row r="13" customHeight="1" spans="1:14">
      <c r="A13" s="26" t="s">
        <v>105</v>
      </c>
      <c r="B13" s="26" t="s">
        <v>111</v>
      </c>
      <c r="C13" s="26" t="s">
        <v>112</v>
      </c>
      <c r="D13" s="26" t="s">
        <v>113</v>
      </c>
      <c r="E13" s="41" t="s">
        <v>114</v>
      </c>
      <c r="F13" s="26"/>
      <c r="G13" s="26" t="s">
        <v>129</v>
      </c>
      <c r="H13" s="42" t="s">
        <v>119</v>
      </c>
      <c r="I13" s="44" t="s">
        <v>120</v>
      </c>
      <c r="J13" s="42" t="s">
        <v>121</v>
      </c>
      <c r="K13" s="42" t="s">
        <v>122</v>
      </c>
      <c r="L13" s="26" t="s">
        <v>130</v>
      </c>
      <c r="M13" s="26" t="s">
        <v>131</v>
      </c>
      <c r="N13" s="26" t="s">
        <v>132</v>
      </c>
    </row>
    <row r="14" customHeight="1" spans="1:14">
      <c r="A14" s="36"/>
      <c r="B14" s="36"/>
      <c r="C14" s="36"/>
      <c r="D14" s="36"/>
      <c r="E14" s="45"/>
      <c r="F14" s="36" t="s">
        <v>123</v>
      </c>
      <c r="G14" s="46" t="s">
        <v>133</v>
      </c>
      <c r="H14" s="47">
        <v>56</v>
      </c>
      <c r="I14" s="48"/>
      <c r="J14" s="36"/>
      <c r="K14" s="36"/>
      <c r="L14" s="36"/>
      <c r="M14" s="26"/>
      <c r="N14" s="26"/>
    </row>
    <row r="15" customHeight="1" spans="1:14">
      <c r="A15" s="26"/>
      <c r="B15" s="26"/>
      <c r="C15" s="26"/>
      <c r="D15" s="26"/>
      <c r="E15" s="26"/>
      <c r="F15" s="26" t="s">
        <v>124</v>
      </c>
      <c r="G15" s="26" t="s">
        <v>134</v>
      </c>
      <c r="H15" s="31">
        <v>56</v>
      </c>
      <c r="I15" s="26"/>
      <c r="J15" s="26"/>
      <c r="K15" s="26"/>
      <c r="L15" s="26"/>
      <c r="M15" s="19"/>
      <c r="N15" s="26"/>
    </row>
    <row r="16" customHeight="1" spans="1:14">
      <c r="A16" s="26"/>
      <c r="B16" s="26"/>
      <c r="C16" s="26"/>
      <c r="D16" s="26"/>
      <c r="E16" s="26"/>
      <c r="F16" s="26"/>
      <c r="G16" s="26" t="s">
        <v>57</v>
      </c>
      <c r="H16" s="31">
        <v>1.1</v>
      </c>
      <c r="I16" s="49"/>
      <c r="J16" s="26"/>
      <c r="K16" s="26"/>
      <c r="L16" s="26"/>
      <c r="M16" s="19"/>
      <c r="N16" s="26"/>
    </row>
    <row r="17" customHeight="1" spans="1:17">
      <c r="A17" s="26"/>
      <c r="B17" s="26"/>
      <c r="C17" s="26"/>
      <c r="D17" s="26"/>
      <c r="E17" s="26"/>
      <c r="F17" s="26"/>
      <c r="G17" s="26" t="s">
        <v>135</v>
      </c>
      <c r="H17" s="31">
        <v>1</v>
      </c>
      <c r="I17" s="49"/>
      <c r="J17" s="26"/>
      <c r="K17" s="26"/>
      <c r="L17" s="26"/>
      <c r="M17" s="19"/>
      <c r="N17" s="26"/>
    </row>
    <row r="18" customHeight="1" spans="1:17">
      <c r="A18" s="26"/>
      <c r="B18" s="26"/>
      <c r="C18" s="26"/>
      <c r="D18" s="26"/>
      <c r="E18" s="26"/>
      <c r="F18" s="26"/>
      <c r="G18" s="26" t="s">
        <v>65</v>
      </c>
      <c r="H18" s="31">
        <v>1</v>
      </c>
      <c r="I18" s="26"/>
      <c r="J18" s="26"/>
      <c r="K18" s="26"/>
      <c r="L18" s="26"/>
      <c r="M18" s="19"/>
      <c r="N18" s="26"/>
    </row>
    <row r="19" customHeight="1" spans="1:17">
      <c r="A19" s="26"/>
      <c r="B19" s="26"/>
      <c r="C19" s="26"/>
      <c r="D19" s="26"/>
      <c r="E19" s="26"/>
      <c r="F19" s="26"/>
      <c r="G19" s="26" t="s">
        <v>136</v>
      </c>
      <c r="H19" s="31">
        <v>1</v>
      </c>
      <c r="I19" s="26"/>
      <c r="J19" s="26"/>
      <c r="K19" s="26"/>
      <c r="L19" s="26"/>
      <c r="M19" s="19"/>
      <c r="N19" s="26"/>
    </row>
    <row r="20" customHeight="1" spans="1:17">
      <c r="A20" s="26"/>
      <c r="B20" s="26"/>
      <c r="C20" s="26"/>
      <c r="D20" s="26"/>
      <c r="E20" s="26"/>
      <c r="F20" s="26"/>
      <c r="G20" s="26" t="s">
        <v>78</v>
      </c>
      <c r="H20" s="31">
        <v>0.9</v>
      </c>
      <c r="I20" s="26"/>
      <c r="J20" s="26"/>
      <c r="K20" s="26"/>
      <c r="L20" s="26"/>
      <c r="M20" s="19"/>
      <c r="N20" s="26"/>
    </row>
    <row r="21" customHeight="1" spans="1:17">
      <c r="A21" s="26"/>
      <c r="B21" s="26"/>
      <c r="C21" s="26"/>
      <c r="D21" s="26"/>
      <c r="E21" s="26"/>
      <c r="F21" s="26"/>
      <c r="G21" s="16" t="s">
        <v>137</v>
      </c>
      <c r="H21" s="15">
        <f>H15*H16*H17*H18*H19*H20</f>
        <v>55.44</v>
      </c>
      <c r="I21" s="26"/>
      <c r="J21" s="26"/>
      <c r="K21" s="26"/>
      <c r="L21" s="26"/>
      <c r="M21" s="19"/>
      <c r="N21" s="26"/>
    </row>
    <row r="24" ht="18.75" customHeight="1" spans="1:17">
      <c r="A24" s="37" t="s">
        <v>138</v>
      </c>
      <c r="B24" s="50"/>
      <c r="C24" s="50"/>
      <c r="D24" s="50"/>
      <c r="E24" s="50"/>
      <c r="F24" s="50"/>
      <c r="G24" s="50"/>
      <c r="H24" s="51"/>
      <c r="P24" s="26" t="s">
        <v>139</v>
      </c>
      <c r="Q24" s="31" t="s">
        <v>140</v>
      </c>
    </row>
    <row r="25" customHeight="1" spans="1:17">
      <c r="A25" s="41" t="s">
        <v>141</v>
      </c>
      <c r="B25" s="40"/>
      <c r="C25" s="40"/>
      <c r="D25" s="40"/>
      <c r="E25" s="40"/>
      <c r="F25" s="40"/>
      <c r="G25" s="40"/>
      <c r="H25" s="19"/>
      <c r="P25" s="26" t="s">
        <v>18</v>
      </c>
      <c r="Q25" s="31" t="s">
        <v>142</v>
      </c>
    </row>
    <row r="26" customHeight="1" spans="1:17">
      <c r="A26" s="26"/>
      <c r="B26" s="52" t="s">
        <v>17</v>
      </c>
      <c r="C26" s="52" t="s">
        <v>18</v>
      </c>
      <c r="D26" s="52" t="s">
        <v>143</v>
      </c>
      <c r="E26" s="52" t="s">
        <v>20</v>
      </c>
      <c r="F26" s="52" t="s">
        <v>144</v>
      </c>
      <c r="G26" s="52" t="s">
        <v>29</v>
      </c>
      <c r="H26" s="16" t="s">
        <v>145</v>
      </c>
      <c r="P26" s="26" t="s">
        <v>143</v>
      </c>
      <c r="Q26" s="31" t="s">
        <v>36</v>
      </c>
    </row>
    <row r="27" customHeight="1" spans="1:17">
      <c r="A27" s="26" t="s">
        <v>123</v>
      </c>
      <c r="B27" s="26"/>
      <c r="C27" s="26"/>
      <c r="D27" s="26"/>
      <c r="E27" s="26"/>
      <c r="F27" s="26"/>
      <c r="G27" s="26"/>
      <c r="H27" s="26"/>
      <c r="P27" s="36" t="s">
        <v>20</v>
      </c>
      <c r="Q27" s="35" t="s">
        <v>146</v>
      </c>
    </row>
    <row r="28" customHeight="1" spans="1:17">
      <c r="A28" s="26" t="s">
        <v>124</v>
      </c>
      <c r="B28" s="26"/>
      <c r="C28" s="26"/>
      <c r="D28" s="26"/>
      <c r="E28" s="26"/>
      <c r="F28" s="26"/>
      <c r="G28" s="26"/>
      <c r="H28" s="26"/>
      <c r="P28" s="26" t="s">
        <v>144</v>
      </c>
      <c r="Q28" s="26"/>
    </row>
    <row r="29" customHeight="1" spans="1:17">
      <c r="P29" s="30" t="s">
        <v>29</v>
      </c>
      <c r="Q29" s="29" t="s">
        <v>147</v>
      </c>
    </row>
    <row r="32" ht="18.75" customHeight="1" spans="1:17">
      <c r="A32" s="53" t="s">
        <v>148</v>
      </c>
      <c r="B32" s="54"/>
      <c r="C32" s="54"/>
      <c r="D32" s="54"/>
      <c r="E32" s="54"/>
      <c r="F32" s="54"/>
      <c r="G32" s="54"/>
      <c r="H32" s="54"/>
      <c r="I32" s="54"/>
      <c r="J32" s="55"/>
      <c r="P32" s="26" t="s">
        <v>149</v>
      </c>
      <c r="Q32" s="26" t="s">
        <v>150</v>
      </c>
    </row>
    <row r="33" customHeight="1" spans="1:17">
      <c r="A33" s="26" t="s">
        <v>151</v>
      </c>
      <c r="B33" s="26"/>
      <c r="C33" s="26"/>
      <c r="D33" s="26"/>
      <c r="E33" s="26"/>
      <c r="F33" s="26"/>
      <c r="G33" s="26"/>
      <c r="H33" s="26"/>
      <c r="I33" s="26"/>
      <c r="J33" s="26"/>
    </row>
    <row r="34" customHeight="1" spans="1:17">
      <c r="A34" s="26"/>
      <c r="B34" s="56" t="s">
        <v>144</v>
      </c>
      <c r="C34" s="56" t="s">
        <v>29</v>
      </c>
      <c r="D34" s="56" t="s">
        <v>152</v>
      </c>
      <c r="E34" s="57" t="s">
        <v>153</v>
      </c>
      <c r="F34" s="52" t="s">
        <v>154</v>
      </c>
      <c r="G34" s="52" t="s">
        <v>155</v>
      </c>
      <c r="H34" s="52" t="s">
        <v>156</v>
      </c>
      <c r="I34" s="52" t="s">
        <v>157</v>
      </c>
      <c r="J34" s="16" t="s">
        <v>158</v>
      </c>
    </row>
    <row r="35" customHeight="1" spans="1:17">
      <c r="A35" s="26" t="s">
        <v>123</v>
      </c>
      <c r="B35" s="26"/>
      <c r="C35" s="26"/>
      <c r="D35" s="26"/>
      <c r="E35" s="26"/>
      <c r="F35" s="26"/>
      <c r="G35" s="26"/>
      <c r="H35" s="26"/>
      <c r="I35" s="26"/>
      <c r="J35" s="26"/>
    </row>
    <row r="36" customHeight="1" spans="1:17">
      <c r="A36" s="26" t="s">
        <v>124</v>
      </c>
      <c r="B36" s="26"/>
      <c r="C36" s="26"/>
      <c r="D36" s="26"/>
      <c r="E36" s="26"/>
      <c r="F36" s="26"/>
      <c r="G36" s="26"/>
      <c r="H36" s="26"/>
      <c r="I36" s="26"/>
      <c r="J36" s="26"/>
    </row>
    <row r="39" ht="33" customHeight="1" spans="1:17">
      <c r="A39" s="37" t="s">
        <v>159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9"/>
      <c r="O39" s="9" t="s">
        <v>160</v>
      </c>
      <c r="Q39" s="9"/>
    </row>
    <row r="40" customHeight="1" spans="1:17">
      <c r="A40" s="41" t="s">
        <v>161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19"/>
    </row>
    <row r="41" customHeight="1" spans="1:17">
      <c r="A41" s="26" t="s">
        <v>105</v>
      </c>
      <c r="B41" s="26" t="s">
        <v>111</v>
      </c>
      <c r="C41" s="26" t="s">
        <v>112</v>
      </c>
      <c r="D41" s="26" t="s">
        <v>113</v>
      </c>
      <c r="E41" s="26" t="s">
        <v>114</v>
      </c>
      <c r="F41" s="26"/>
      <c r="G41" s="42" t="s">
        <v>119</v>
      </c>
      <c r="H41" s="42" t="s">
        <v>120</v>
      </c>
      <c r="I41" s="42" t="s">
        <v>121</v>
      </c>
      <c r="J41" s="42" t="s">
        <v>122</v>
      </c>
      <c r="K41" s="26" t="s">
        <v>130</v>
      </c>
      <c r="L41" s="26" t="s">
        <v>131</v>
      </c>
      <c r="M41" s="26" t="s">
        <v>132</v>
      </c>
      <c r="N41" s="26" t="s">
        <v>162</v>
      </c>
    </row>
    <row r="42" customHeight="1" spans="1:17">
      <c r="A42" s="26"/>
      <c r="B42" s="26"/>
      <c r="C42" s="26"/>
      <c r="D42" s="26"/>
      <c r="E42" s="26"/>
      <c r="F42" s="26" t="s">
        <v>163</v>
      </c>
      <c r="G42" s="26">
        <v>500</v>
      </c>
      <c r="H42" s="26">
        <v>500</v>
      </c>
      <c r="I42" s="26">
        <v>500</v>
      </c>
      <c r="J42" s="26">
        <v>600</v>
      </c>
      <c r="K42" s="26">
        <v>700</v>
      </c>
      <c r="L42" s="26">
        <v>800</v>
      </c>
      <c r="M42" s="26">
        <v>900</v>
      </c>
      <c r="N42" s="26">
        <v>1000</v>
      </c>
    </row>
    <row r="43" customHeight="1" spans="1:17">
      <c r="A43" s="26"/>
      <c r="B43" s="26"/>
      <c r="C43" s="26"/>
      <c r="D43" s="26"/>
      <c r="E43" s="26"/>
      <c r="F43" s="26" t="s">
        <v>164</v>
      </c>
      <c r="G43" s="26">
        <v>505</v>
      </c>
      <c r="H43" s="26">
        <v>550</v>
      </c>
      <c r="I43" s="26">
        <v>560</v>
      </c>
      <c r="J43" s="26">
        <v>650</v>
      </c>
      <c r="K43" s="26">
        <v>750</v>
      </c>
      <c r="L43" s="26">
        <v>850</v>
      </c>
      <c r="M43" s="26">
        <v>950</v>
      </c>
      <c r="N43" s="26">
        <v>1100</v>
      </c>
    </row>
    <row r="44" customHeight="1" spans="1:17">
      <c r="A44" s="26"/>
      <c r="B44" s="26"/>
      <c r="C44" s="26"/>
      <c r="D44" s="26"/>
      <c r="E44" s="26"/>
      <c r="F44" s="26" t="s">
        <v>165</v>
      </c>
      <c r="G44" s="26"/>
      <c r="H44" s="26"/>
      <c r="I44" s="26"/>
      <c r="J44" s="26"/>
      <c r="K44" s="26"/>
      <c r="L44" s="26"/>
      <c r="M44" s="26"/>
      <c r="N44" s="26"/>
    </row>
    <row r="47" ht="33" customHeight="1" spans="1:17">
      <c r="A47" s="37" t="s">
        <v>166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1"/>
      <c r="N47" s="9" t="s">
        <v>160</v>
      </c>
      <c r="Q47" s="9"/>
    </row>
    <row r="48" customHeight="1" spans="1:17">
      <c r="A48" s="41" t="s">
        <v>167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19"/>
    </row>
    <row r="49" customHeight="1" spans="1:13">
      <c r="A49" s="26"/>
      <c r="B49" s="57" t="s">
        <v>145</v>
      </c>
      <c r="C49" s="57" t="s">
        <v>153</v>
      </c>
      <c r="D49" s="52" t="s">
        <v>154</v>
      </c>
      <c r="E49" s="52" t="s">
        <v>155</v>
      </c>
      <c r="F49" s="52" t="s">
        <v>156</v>
      </c>
      <c r="G49" s="52" t="s">
        <v>157</v>
      </c>
      <c r="H49" s="52" t="s">
        <v>168</v>
      </c>
      <c r="I49" s="52" t="s">
        <v>169</v>
      </c>
      <c r="J49" s="52" t="s">
        <v>170</v>
      </c>
      <c r="K49" s="52" t="s">
        <v>171</v>
      </c>
      <c r="L49" s="52" t="s">
        <v>172</v>
      </c>
      <c r="M49" s="16" t="s">
        <v>173</v>
      </c>
    </row>
    <row r="50" customHeight="1" spans="1:13">
      <c r="A50" s="26" t="s">
        <v>123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customHeight="1" spans="1:13">
      <c r="A51" s="26" t="s">
        <v>124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3" customHeight="1" spans="1:13">
      <c r="A53" s="9" t="s">
        <v>174</v>
      </c>
    </row>
    <row r="54" customHeight="1" spans="1:13">
      <c r="A54" s="9" t="s">
        <v>175</v>
      </c>
    </row>
  </sheetData>
  <mergeCells count="29">
    <mergeCell ref="A1:N1"/>
    <mergeCell ref="A2:N2"/>
    <mergeCell ref="E3:K3"/>
    <mergeCell ref="A11:N11"/>
    <mergeCell ref="A12:N12"/>
    <mergeCell ref="A24:H24"/>
    <mergeCell ref="A25:H25"/>
    <mergeCell ref="A32:J32"/>
    <mergeCell ref="A33:J33"/>
    <mergeCell ref="A39:N39"/>
    <mergeCell ref="A40:N40"/>
    <mergeCell ref="A47:M47"/>
    <mergeCell ref="A48:M48"/>
    <mergeCell ref="A5:A8"/>
    <mergeCell ref="A15:A21"/>
    <mergeCell ref="A42:A44"/>
    <mergeCell ref="B5:B8"/>
    <mergeCell ref="B15:B21"/>
    <mergeCell ref="B42:B44"/>
    <mergeCell ref="C5:C8"/>
    <mergeCell ref="C15:C21"/>
    <mergeCell ref="C42:C44"/>
    <mergeCell ref="D5:D8"/>
    <mergeCell ref="D15:D21"/>
    <mergeCell ref="D42:D44"/>
    <mergeCell ref="E5:E8"/>
    <mergeCell ref="E15:E21"/>
    <mergeCell ref="E42:E44"/>
    <mergeCell ref="F15:F2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4"/>
  <sheetViews>
    <sheetView topLeftCell="A29" workbookViewId="0">
      <selection activeCell="A15" sqref="A15:C15"/>
    </sheetView>
  </sheetViews>
  <sheetFormatPr defaultColWidth="10" defaultRowHeight="16.5" customHeight="1" outlineLevelCol="4"/>
  <cols>
    <col min="1" max="1" width="14.7575757575758"/>
    <col min="2" max="2" width="7.62121212121212"/>
    <col min="3" max="3" width="81.9242424242424"/>
    <col min="4" max="4" width="58" customWidth="1"/>
  </cols>
  <sheetData>
    <row r="1" ht="18.75" customHeight="1" spans="1:4">
      <c r="A1" s="14" t="s">
        <v>176</v>
      </c>
      <c r="B1" s="15"/>
      <c r="C1" s="16"/>
    </row>
    <row r="2" ht="68.25" customHeight="1" spans="1:4">
      <c r="A2" s="17" t="s">
        <v>177</v>
      </c>
      <c r="B2" s="18"/>
      <c r="C2" s="19"/>
      <c r="D2" s="20" t="s">
        <v>178</v>
      </c>
    </row>
    <row r="3" customHeight="1" spans="1:4">
      <c r="A3" s="21" t="s">
        <v>129</v>
      </c>
      <c r="B3" s="22" t="s">
        <v>179</v>
      </c>
      <c r="C3" s="23" t="s">
        <v>180</v>
      </c>
    </row>
    <row r="4" customHeight="1" spans="1:4">
      <c r="A4" s="24" t="s">
        <v>33</v>
      </c>
      <c r="B4" s="25">
        <v>0.4</v>
      </c>
      <c r="C4" s="26" t="s">
        <v>181</v>
      </c>
    </row>
    <row r="5" customHeight="1" spans="1:4">
      <c r="A5" s="24" t="s">
        <v>182</v>
      </c>
      <c r="B5" s="25">
        <v>0.3</v>
      </c>
      <c r="C5" s="26" t="s">
        <v>183</v>
      </c>
    </row>
    <row r="6" customHeight="1" spans="1:4">
      <c r="A6" s="24" t="s">
        <v>184</v>
      </c>
      <c r="B6" s="25">
        <v>0.3</v>
      </c>
      <c r="C6" s="27" t="s">
        <v>185</v>
      </c>
    </row>
    <row r="7" customHeight="1" spans="1:4">
      <c r="A7" s="28" t="s">
        <v>186</v>
      </c>
      <c r="B7" s="29" t="s">
        <v>187</v>
      </c>
      <c r="C7" s="30" t="s">
        <v>188</v>
      </c>
    </row>
    <row r="8" customHeight="1" spans="1:4">
      <c r="A8" s="24" t="s">
        <v>111</v>
      </c>
      <c r="B8" s="31" t="s">
        <v>187</v>
      </c>
      <c r="C8" s="26" t="s">
        <v>188</v>
      </c>
    </row>
    <row r="9" customHeight="1" spans="1:4">
      <c r="A9" s="24" t="s">
        <v>67</v>
      </c>
      <c r="B9" s="31" t="s">
        <v>187</v>
      </c>
      <c r="C9" s="26" t="s">
        <v>188</v>
      </c>
    </row>
    <row r="10" customHeight="1" spans="1:4">
      <c r="A10" s="24" t="s">
        <v>77</v>
      </c>
      <c r="B10" s="31" t="s">
        <v>187</v>
      </c>
      <c r="C10" s="26" t="s">
        <v>188</v>
      </c>
    </row>
    <row r="11" customHeight="1" spans="1:4">
      <c r="B11" s="32"/>
    </row>
    <row r="12" customHeight="1" spans="1:4">
      <c r="B12" s="32"/>
    </row>
    <row r="13" customHeight="1" spans="1:4">
      <c r="B13" s="32"/>
    </row>
    <row r="14" ht="18.75" customHeight="1" spans="1:4">
      <c r="A14" s="14" t="s">
        <v>189</v>
      </c>
      <c r="B14" s="15"/>
      <c r="C14" s="16"/>
    </row>
    <row r="15" ht="68.25" customHeight="1" spans="1:4">
      <c r="A15" s="17" t="s">
        <v>190</v>
      </c>
      <c r="B15" s="18"/>
      <c r="C15" s="19"/>
      <c r="D15" s="20" t="s">
        <v>191</v>
      </c>
    </row>
    <row r="16" customHeight="1" spans="1:4">
      <c r="A16" s="21" t="s">
        <v>129</v>
      </c>
      <c r="B16" s="22" t="s">
        <v>179</v>
      </c>
      <c r="C16" s="23" t="s">
        <v>180</v>
      </c>
    </row>
    <row r="17" customHeight="1" spans="1:5">
      <c r="A17" s="24" t="s">
        <v>33</v>
      </c>
      <c r="B17" s="25">
        <v>0.4</v>
      </c>
      <c r="C17" s="26" t="s">
        <v>192</v>
      </c>
    </row>
    <row r="18" customHeight="1" spans="1:5">
      <c r="A18" s="24" t="s">
        <v>182</v>
      </c>
      <c r="B18" s="25">
        <v>0.15</v>
      </c>
      <c r="C18" s="26" t="s">
        <v>193</v>
      </c>
      <c r="E18" s="9" t="s">
        <v>194</v>
      </c>
    </row>
    <row r="19" customHeight="1" spans="1:5">
      <c r="A19" s="24" t="s">
        <v>184</v>
      </c>
      <c r="B19" s="25">
        <v>0.1</v>
      </c>
      <c r="C19" s="27" t="s">
        <v>195</v>
      </c>
      <c r="E19" s="9" t="s">
        <v>196</v>
      </c>
    </row>
    <row r="20" customHeight="1" spans="1:5">
      <c r="A20" s="28" t="s">
        <v>186</v>
      </c>
      <c r="B20" s="33">
        <v>0.25</v>
      </c>
      <c r="C20" s="30" t="s">
        <v>197</v>
      </c>
    </row>
    <row r="21" customHeight="1" spans="1:5">
      <c r="A21" s="24" t="s">
        <v>111</v>
      </c>
      <c r="B21" s="25">
        <v>0.1</v>
      </c>
      <c r="C21" s="26" t="s">
        <v>198</v>
      </c>
    </row>
    <row r="22" customHeight="1" spans="1:5">
      <c r="A22" s="24" t="s">
        <v>67</v>
      </c>
      <c r="B22" s="25">
        <v>0.05</v>
      </c>
      <c r="C22" s="26" t="s">
        <v>199</v>
      </c>
    </row>
    <row r="23" customHeight="1" spans="1:5">
      <c r="A23" s="24" t="s">
        <v>77</v>
      </c>
      <c r="B23" s="25">
        <v>0.05</v>
      </c>
      <c r="C23" s="26" t="s">
        <v>200</v>
      </c>
    </row>
    <row r="24" customHeight="1" spans="1:5">
      <c r="B24" s="32"/>
    </row>
    <row r="25" customHeight="1" spans="1:5">
      <c r="B25" s="32"/>
    </row>
    <row r="26" customHeight="1" spans="1:5">
      <c r="B26" s="32"/>
    </row>
    <row r="27" customHeight="1" spans="1:5">
      <c r="B27" s="32"/>
    </row>
    <row r="28" ht="18.75" customHeight="1" spans="1:5">
      <c r="A28" s="14" t="s">
        <v>201</v>
      </c>
      <c r="B28" s="15"/>
      <c r="C28" s="16"/>
    </row>
    <row r="29" ht="68.25" customHeight="1" spans="1:5">
      <c r="A29" s="17" t="s">
        <v>202</v>
      </c>
      <c r="B29" s="18"/>
      <c r="C29" s="19"/>
      <c r="D29" s="20" t="s">
        <v>191</v>
      </c>
    </row>
    <row r="30" customHeight="1" spans="1:5">
      <c r="A30" s="21" t="s">
        <v>129</v>
      </c>
      <c r="B30" s="22" t="s">
        <v>179</v>
      </c>
      <c r="C30" s="23" t="s">
        <v>180</v>
      </c>
    </row>
    <row r="31" customHeight="1" spans="1:5">
      <c r="A31" s="24" t="s">
        <v>33</v>
      </c>
      <c r="B31" s="25">
        <v>0.25</v>
      </c>
      <c r="C31" s="26" t="s">
        <v>203</v>
      </c>
    </row>
    <row r="32" customHeight="1" spans="1:5">
      <c r="A32" s="24" t="s">
        <v>182</v>
      </c>
      <c r="B32" s="25"/>
      <c r="C32" s="26"/>
    </row>
    <row r="33" customHeight="1" spans="1:3">
      <c r="A33" s="24" t="s">
        <v>184</v>
      </c>
      <c r="B33" s="25">
        <v>0.2</v>
      </c>
      <c r="C33" s="27" t="s">
        <v>204</v>
      </c>
    </row>
    <row r="34" customHeight="1" spans="1:3">
      <c r="A34" s="28" t="s">
        <v>186</v>
      </c>
      <c r="B34" s="29"/>
      <c r="C34" s="30" t="s">
        <v>205</v>
      </c>
    </row>
    <row r="35" customHeight="1" spans="1:3">
      <c r="A35" s="24" t="s">
        <v>111</v>
      </c>
      <c r="B35" s="31"/>
      <c r="C35" s="26"/>
    </row>
    <row r="36" customHeight="1" spans="1:3">
      <c r="A36" s="24" t="s">
        <v>67</v>
      </c>
      <c r="B36" s="31"/>
      <c r="C36" s="26"/>
    </row>
    <row r="37" customHeight="1" spans="1:3">
      <c r="A37" s="24" t="s">
        <v>77</v>
      </c>
      <c r="B37" s="31"/>
      <c r="C37" s="26"/>
    </row>
    <row r="38" customHeight="1" spans="1:3">
      <c r="A38" s="24" t="s">
        <v>206</v>
      </c>
      <c r="B38" s="31"/>
      <c r="C38" s="26" t="s">
        <v>207</v>
      </c>
    </row>
    <row r="39" customHeight="1" spans="1:3">
      <c r="B39" s="32"/>
    </row>
    <row r="40" customHeight="1" spans="1:3">
      <c r="B40" s="32"/>
    </row>
    <row r="41" customHeight="1" spans="1:3">
      <c r="B41" s="32"/>
    </row>
    <row r="42" customHeight="1" spans="1:3">
      <c r="B42" s="32"/>
    </row>
    <row r="43" customHeight="1" spans="1:3">
      <c r="B43" s="32"/>
    </row>
    <row r="44" ht="18.75" customHeight="1" spans="1:3">
      <c r="A44" s="14" t="s">
        <v>208</v>
      </c>
      <c r="B44" s="15"/>
      <c r="C44" s="16"/>
    </row>
    <row r="45" ht="81.75" customHeight="1" spans="1:3">
      <c r="A45" s="17" t="s">
        <v>209</v>
      </c>
      <c r="B45" s="18"/>
      <c r="C45" s="19"/>
    </row>
    <row r="46" customHeight="1" spans="1:3">
      <c r="A46" s="21" t="s">
        <v>129</v>
      </c>
      <c r="B46" s="22" t="s">
        <v>179</v>
      </c>
      <c r="C46" s="23" t="s">
        <v>180</v>
      </c>
    </row>
    <row r="47" customHeight="1" spans="1:3">
      <c r="A47" s="24" t="s">
        <v>33</v>
      </c>
      <c r="B47" s="25">
        <v>0.15</v>
      </c>
      <c r="C47" s="26" t="s">
        <v>210</v>
      </c>
    </row>
    <row r="48" customHeight="1" spans="1:3">
      <c r="A48" s="24" t="s">
        <v>182</v>
      </c>
      <c r="B48" s="25"/>
      <c r="C48" s="26"/>
    </row>
    <row r="49" customHeight="1" spans="1:3">
      <c r="A49" s="24" t="s">
        <v>184</v>
      </c>
      <c r="B49" s="25">
        <v>0.2</v>
      </c>
      <c r="C49" s="27" t="s">
        <v>211</v>
      </c>
    </row>
    <row r="50" customHeight="1" spans="1:3">
      <c r="A50" s="28" t="s">
        <v>186</v>
      </c>
      <c r="B50" s="29"/>
      <c r="C50" s="30" t="s">
        <v>212</v>
      </c>
    </row>
    <row r="51" customHeight="1" spans="1:3">
      <c r="A51" s="24" t="s">
        <v>111</v>
      </c>
      <c r="B51" s="31"/>
      <c r="C51" s="26"/>
    </row>
    <row r="52" customHeight="1" spans="1:3">
      <c r="A52" s="34" t="s">
        <v>67</v>
      </c>
      <c r="B52" s="35"/>
      <c r="C52" s="36"/>
    </row>
    <row r="53" customHeight="1" spans="1:3">
      <c r="A53" s="24" t="s">
        <v>77</v>
      </c>
      <c r="B53" s="31"/>
      <c r="C53" s="26"/>
    </row>
    <row r="54" customHeight="1" spans="1:3">
      <c r="A54" s="26" t="s">
        <v>213</v>
      </c>
      <c r="B54" s="25">
        <v>0.5</v>
      </c>
      <c r="C54" s="26" t="s">
        <v>214</v>
      </c>
    </row>
  </sheetData>
  <mergeCells count="8">
    <mergeCell ref="A1:C1"/>
    <mergeCell ref="A2:C2"/>
    <mergeCell ref="A14:C14"/>
    <mergeCell ref="A15:C15"/>
    <mergeCell ref="A28:C28"/>
    <mergeCell ref="A29:C29"/>
    <mergeCell ref="A44:C44"/>
    <mergeCell ref="A45:C4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5"/>
  <sheetViews>
    <sheetView workbookViewId="0">
      <selection activeCell="A1" sqref="A1"/>
    </sheetView>
  </sheetViews>
  <sheetFormatPr defaultColWidth="10" defaultRowHeight="16.5" customHeight="1"/>
  <cols>
    <col min="2" max="2" width="10.8787878787879"/>
    <col min="3" max="8" width="9.25"/>
    <col min="9" max="9" width="11.3257575757576"/>
    <col min="10" max="10" width="7.62121212121212"/>
    <col min="11" max="11" width="14.1212121212121"/>
    <col min="12" max="12" width="12.9469696969697"/>
    <col min="13" max="14" width="10.8787878787879"/>
    <col min="15" max="15" width="9.25"/>
  </cols>
  <sheetData>
    <row r="1" customHeight="1" spans="1:15">
      <c r="A1" s="9" t="s">
        <v>215</v>
      </c>
      <c r="B1" s="9" t="s">
        <v>216</v>
      </c>
      <c r="C1" s="10" t="s">
        <v>217</v>
      </c>
      <c r="D1" s="10" t="s">
        <v>218</v>
      </c>
      <c r="E1" s="10" t="s">
        <v>219</v>
      </c>
      <c r="F1" s="10" t="s">
        <v>220</v>
      </c>
      <c r="G1" s="10" t="s">
        <v>221</v>
      </c>
      <c r="H1" s="11" t="s">
        <v>33</v>
      </c>
      <c r="I1" s="9" t="s">
        <v>57</v>
      </c>
      <c r="J1" s="9" t="s">
        <v>135</v>
      </c>
      <c r="K1" s="9" t="s">
        <v>65</v>
      </c>
      <c r="L1" s="9" t="s">
        <v>136</v>
      </c>
      <c r="M1" s="9" t="s">
        <v>78</v>
      </c>
      <c r="N1" s="12" t="s">
        <v>222</v>
      </c>
      <c r="O1" s="12" t="s">
        <v>223</v>
      </c>
    </row>
    <row r="2" customHeight="1" spans="1:15">
      <c r="A2" s="13" t="s">
        <v>224</v>
      </c>
    </row>
    <row r="3" customHeight="1" spans="1:15">
      <c r="A3" s="13" t="s">
        <v>225</v>
      </c>
    </row>
    <row r="4" customHeight="1" spans="1:15">
      <c r="A4" s="13" t="s">
        <v>226</v>
      </c>
    </row>
    <row r="5" customHeight="1" spans="1:15">
      <c r="A5" s="13" t="s">
        <v>227</v>
      </c>
    </row>
    <row r="6" customHeight="1" spans="1:15">
      <c r="A6" s="13" t="s">
        <v>228</v>
      </c>
    </row>
    <row r="7" customHeight="1" spans="1:15">
      <c r="A7" s="13" t="s">
        <v>229</v>
      </c>
    </row>
    <row r="8" customHeight="1" spans="1:15">
      <c r="A8" s="13" t="s">
        <v>230</v>
      </c>
    </row>
    <row r="9" customHeight="1" spans="1:15">
      <c r="A9" s="13" t="s">
        <v>231</v>
      </c>
    </row>
    <row r="10" customHeight="1" spans="1:15">
      <c r="A10" s="13" t="s">
        <v>232</v>
      </c>
    </row>
    <row r="11" customHeight="1" spans="1:15">
      <c r="A11" s="13" t="s">
        <v>233</v>
      </c>
    </row>
    <row r="12" customHeight="1" spans="1:15">
      <c r="A12" s="13" t="s">
        <v>234</v>
      </c>
    </row>
    <row r="13" customHeight="1" spans="1:15">
      <c r="A13" s="13" t="s">
        <v>235</v>
      </c>
    </row>
    <row r="15" customHeight="1" spans="1:15">
      <c r="A15" s="9" t="s">
        <v>236</v>
      </c>
    </row>
    <row r="16" customHeight="1" spans="1:15">
      <c r="A16" s="11" t="s">
        <v>237</v>
      </c>
    </row>
    <row r="17" customHeight="1" spans="1:1">
      <c r="A17" s="9" t="s">
        <v>238</v>
      </c>
    </row>
    <row r="18" customHeight="1" spans="1:1">
      <c r="A18" s="9" t="s">
        <v>239</v>
      </c>
    </row>
    <row r="19" customHeight="1" spans="1:1">
      <c r="A19" s="9" t="s">
        <v>240</v>
      </c>
    </row>
    <row r="20" customHeight="1" spans="1:1">
      <c r="A20" s="9" t="s">
        <v>241</v>
      </c>
    </row>
    <row r="22" customHeight="1" spans="1:1">
      <c r="A22" s="11" t="s">
        <v>242</v>
      </c>
    </row>
    <row r="23" customHeight="1" spans="1:1">
      <c r="A23" s="9" t="s">
        <v>243</v>
      </c>
    </row>
    <row r="24" customHeight="1" spans="1:1">
      <c r="A24" s="9" t="s">
        <v>244</v>
      </c>
    </row>
    <row r="25" customHeight="1" spans="1:1">
      <c r="A25" s="9" t="s">
        <v>245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5:P29"/>
  <sheetViews>
    <sheetView tabSelected="1" workbookViewId="0">
      <selection activeCell="A21" sqref="$A21:$XFD21"/>
    </sheetView>
  </sheetViews>
  <sheetFormatPr defaultColWidth="8.72727272727273" defaultRowHeight="15.6"/>
  <cols>
    <col min="13" max="13" width="14.7272727272727" customWidth="1"/>
    <col min="14" max="14" width="16.2727272727273" customWidth="1"/>
    <col min="15" max="15" width="9.90909090909091" customWidth="1"/>
  </cols>
  <sheetData>
    <row r="15" spans="5:16">
      <c r="E15" s="1" t="s">
        <v>246</v>
      </c>
      <c r="F15" s="1">
        <v>0</v>
      </c>
      <c r="G15" s="1">
        <v>0</v>
      </c>
      <c r="H15" s="1">
        <v>0</v>
      </c>
      <c r="I15" s="2">
        <v>0</v>
      </c>
      <c r="L15" s="1" t="s">
        <v>246</v>
      </c>
      <c r="M15" s="3">
        <v>0</v>
      </c>
      <c r="N15" s="3">
        <v>0</v>
      </c>
      <c r="O15" s="3">
        <v>0</v>
      </c>
      <c r="P15" s="2">
        <v>0</v>
      </c>
    </row>
    <row r="16" spans="5:16">
      <c r="E16" s="1" t="s">
        <v>247</v>
      </c>
      <c r="F16" s="1">
        <v>0</v>
      </c>
      <c r="G16" s="1">
        <v>0</v>
      </c>
      <c r="H16" s="1">
        <v>0</v>
      </c>
      <c r="I16" s="2">
        <v>0</v>
      </c>
      <c r="L16" s="1" t="s">
        <v>247</v>
      </c>
      <c r="M16" s="3">
        <v>0</v>
      </c>
      <c r="N16" s="3">
        <v>0</v>
      </c>
      <c r="O16" s="3">
        <v>0</v>
      </c>
      <c r="P16" s="2">
        <v>0</v>
      </c>
    </row>
    <row r="17" spans="5:16">
      <c r="E17" s="1" t="s">
        <v>248</v>
      </c>
      <c r="F17" s="4">
        <v>7950</v>
      </c>
      <c r="G17" s="1">
        <v>0</v>
      </c>
      <c r="H17" s="1">
        <v>134</v>
      </c>
      <c r="I17" s="2">
        <v>0</v>
      </c>
      <c r="L17" s="1" t="s">
        <v>248</v>
      </c>
      <c r="M17" s="3">
        <v>93776.52</v>
      </c>
      <c r="N17" s="3">
        <v>0</v>
      </c>
      <c r="O17" s="3">
        <v>-2956.47</v>
      </c>
      <c r="P17" s="2">
        <v>0</v>
      </c>
    </row>
    <row r="18" spans="5:16">
      <c r="E18" s="1" t="s">
        <v>249</v>
      </c>
      <c r="F18" s="4">
        <v>2154</v>
      </c>
      <c r="G18" s="1">
        <v>0</v>
      </c>
      <c r="H18" s="1">
        <v>7</v>
      </c>
      <c r="I18" s="2">
        <v>0</v>
      </c>
      <c r="L18" s="1" t="s">
        <v>249</v>
      </c>
      <c r="M18" s="3">
        <v>-93170.48</v>
      </c>
      <c r="N18" s="3">
        <v>0</v>
      </c>
      <c r="O18" s="3">
        <v>317.05</v>
      </c>
      <c r="P18" s="2">
        <v>0</v>
      </c>
    </row>
    <row r="19" spans="5:16">
      <c r="E19" s="1" t="s">
        <v>250</v>
      </c>
      <c r="F19" s="4">
        <v>55012</v>
      </c>
      <c r="G19" s="4">
        <v>45300</v>
      </c>
      <c r="H19" s="4">
        <v>1851</v>
      </c>
      <c r="I19" s="2">
        <v>0.0409</v>
      </c>
      <c r="L19" s="5" t="s">
        <v>250</v>
      </c>
      <c r="M19" s="6">
        <v>2592498.74</v>
      </c>
      <c r="N19" s="6">
        <v>2329589</v>
      </c>
      <c r="O19" s="6">
        <v>94410.74</v>
      </c>
      <c r="P19" s="7">
        <v>0.0405</v>
      </c>
    </row>
    <row r="20" spans="5:16">
      <c r="E20" s="1" t="s">
        <v>251</v>
      </c>
      <c r="F20" s="4">
        <v>317266</v>
      </c>
      <c r="G20" s="4">
        <v>284510</v>
      </c>
      <c r="H20" s="4">
        <v>48551</v>
      </c>
      <c r="I20" s="2">
        <v>0.1706</v>
      </c>
      <c r="L20" s="1" t="s">
        <v>251</v>
      </c>
      <c r="M20" s="3">
        <v>6566879.33</v>
      </c>
      <c r="N20" s="3">
        <v>8522742</v>
      </c>
      <c r="O20" s="3">
        <v>2030846.2</v>
      </c>
      <c r="P20" s="2">
        <v>0.2383</v>
      </c>
    </row>
    <row r="21" spans="5:16">
      <c r="E21" s="1" t="s">
        <v>252</v>
      </c>
      <c r="F21" s="4">
        <v>5204</v>
      </c>
      <c r="G21" s="4">
        <v>11350</v>
      </c>
      <c r="H21" s="1">
        <v>426</v>
      </c>
      <c r="I21" s="2">
        <v>0.0375</v>
      </c>
      <c r="L21" s="1" t="s">
        <v>252</v>
      </c>
      <c r="M21" s="3">
        <v>8031.24</v>
      </c>
      <c r="N21" s="3">
        <v>125153</v>
      </c>
      <c r="O21" s="3">
        <v>2411.02</v>
      </c>
      <c r="P21" s="2">
        <v>0.0193</v>
      </c>
    </row>
    <row r="22" spans="5:16">
      <c r="E22" s="1" t="s">
        <v>253</v>
      </c>
      <c r="F22" s="4">
        <v>277195</v>
      </c>
      <c r="G22" s="4">
        <v>297569</v>
      </c>
      <c r="H22" s="4">
        <v>48363</v>
      </c>
      <c r="I22" s="2">
        <v>0.1625</v>
      </c>
      <c r="L22" s="1" t="s">
        <v>253</v>
      </c>
      <c r="M22" s="3">
        <v>6472136.53</v>
      </c>
      <c r="N22" s="3">
        <v>8368284</v>
      </c>
      <c r="O22" s="3">
        <v>1576022.69</v>
      </c>
      <c r="P22" s="2">
        <v>0.1883</v>
      </c>
    </row>
    <row r="23" spans="5:16">
      <c r="E23" s="1" t="s">
        <v>254</v>
      </c>
      <c r="F23" s="1">
        <v>89</v>
      </c>
      <c r="G23" s="1">
        <v>0</v>
      </c>
      <c r="H23" s="1">
        <v>0</v>
      </c>
      <c r="I23" s="2">
        <v>0</v>
      </c>
      <c r="L23" s="1" t="s">
        <v>254</v>
      </c>
      <c r="M23" s="3">
        <v>4623.1</v>
      </c>
      <c r="N23" s="3">
        <v>0</v>
      </c>
      <c r="O23" s="3">
        <v>0</v>
      </c>
      <c r="P23" s="2">
        <v>0</v>
      </c>
    </row>
    <row r="24" spans="5:16">
      <c r="E24" s="1" t="s">
        <v>255</v>
      </c>
      <c r="F24" s="4">
        <v>9933</v>
      </c>
      <c r="G24" s="4">
        <v>55205</v>
      </c>
      <c r="H24" s="1">
        <v>150</v>
      </c>
      <c r="I24" s="2">
        <v>0.0027</v>
      </c>
      <c r="L24" s="1" t="s">
        <v>255</v>
      </c>
      <c r="M24" s="3">
        <v>-35073.94</v>
      </c>
      <c r="N24" s="3">
        <v>784542</v>
      </c>
      <c r="O24" s="3">
        <v>2337.5</v>
      </c>
      <c r="P24" s="2">
        <v>0.003</v>
      </c>
    </row>
    <row r="25" spans="5:16">
      <c r="E25" s="1" t="s">
        <v>256</v>
      </c>
      <c r="F25" s="4">
        <v>499913</v>
      </c>
      <c r="G25" s="4">
        <v>750577</v>
      </c>
      <c r="H25" s="4">
        <v>204656</v>
      </c>
      <c r="I25" s="2">
        <v>0.2727</v>
      </c>
      <c r="L25" s="1" t="s">
        <v>256</v>
      </c>
      <c r="M25" s="3">
        <v>13036958.56</v>
      </c>
      <c r="N25" s="3">
        <v>23064200</v>
      </c>
      <c r="O25" s="3">
        <v>6892013.15</v>
      </c>
      <c r="P25" s="2">
        <v>0.2988</v>
      </c>
    </row>
    <row r="26" spans="5:16">
      <c r="E26" s="1" t="s">
        <v>257</v>
      </c>
      <c r="F26" s="4">
        <v>32756</v>
      </c>
      <c r="G26" s="1">
        <v>0</v>
      </c>
      <c r="H26" s="1">
        <v>696</v>
      </c>
      <c r="I26" s="2">
        <v>0</v>
      </c>
      <c r="L26" s="1" t="s">
        <v>257</v>
      </c>
      <c r="M26" s="3">
        <v>811745.19</v>
      </c>
      <c r="N26" s="3">
        <v>0</v>
      </c>
      <c r="O26" s="3">
        <v>29915.48</v>
      </c>
      <c r="P26" s="2">
        <v>0</v>
      </c>
    </row>
    <row r="27" spans="5:16">
      <c r="E27" s="5" t="s">
        <v>258</v>
      </c>
      <c r="F27" s="8">
        <v>21375</v>
      </c>
      <c r="G27" s="8">
        <v>6636</v>
      </c>
      <c r="H27" s="8">
        <v>2094</v>
      </c>
      <c r="I27" s="7">
        <v>0.3156</v>
      </c>
      <c r="L27" s="1" t="s">
        <v>258</v>
      </c>
      <c r="M27" s="3">
        <v>306951.65</v>
      </c>
      <c r="N27" s="3">
        <v>219773</v>
      </c>
      <c r="O27" s="3">
        <v>90572.95</v>
      </c>
      <c r="P27" s="2">
        <v>0.4121</v>
      </c>
    </row>
    <row r="28" spans="5:16">
      <c r="E28" s="1" t="s">
        <v>259</v>
      </c>
      <c r="F28" s="4">
        <v>71690</v>
      </c>
      <c r="G28" s="4">
        <v>298676</v>
      </c>
      <c r="H28" s="4">
        <v>31899</v>
      </c>
      <c r="I28" s="2">
        <v>0.1068</v>
      </c>
      <c r="L28" s="1" t="s">
        <v>259</v>
      </c>
      <c r="M28" s="3">
        <v>1310539.46</v>
      </c>
      <c r="N28" s="3">
        <v>5023282</v>
      </c>
      <c r="O28" s="3">
        <v>483801.14</v>
      </c>
      <c r="P28" s="2">
        <v>0.0963</v>
      </c>
    </row>
    <row r="29" spans="5:16">
      <c r="F29">
        <f>SUM(F15:F28)</f>
        <v>1300537</v>
      </c>
      <c r="G29">
        <f>SUM(G15:G28)</f>
        <v>1749823</v>
      </c>
      <c r="H29">
        <f>SUM(H15:H28)</f>
        <v>338827</v>
      </c>
      <c r="I29">
        <f>SUM(I15:I28)</f>
        <v>1.1093</v>
      </c>
      <c r="J29">
        <f t="shared" ref="J29:P29" si="0">SUM(J15:J28)</f>
        <v>0</v>
      </c>
      <c r="K29">
        <f t="shared" si="0"/>
        <v>0</v>
      </c>
      <c r="L29">
        <f t="shared" si="0"/>
        <v>0</v>
      </c>
      <c r="M29">
        <f t="shared" si="0"/>
        <v>31075895.9</v>
      </c>
      <c r="N29">
        <f t="shared" si="0"/>
        <v>48437565</v>
      </c>
      <c r="O29">
        <f t="shared" si="0"/>
        <v>11199691.45</v>
      </c>
      <c r="P29">
        <f t="shared" si="0"/>
        <v>1.2966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备货模型</vt:lpstr>
      <vt:lpstr>模拟界面</vt:lpstr>
      <vt:lpstr>备货模板</vt:lpstr>
      <vt:lpstr>备货测算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Wimp</cp:lastModifiedBy>
  <dcterms:created xsi:type="dcterms:W3CDTF">2006-09-16T00:00:00Z</dcterms:created>
  <dcterms:modified xsi:type="dcterms:W3CDTF">2026-04-03T08:25:54Z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AD10D1CE5AC444F6900FF618FBCC721D_12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